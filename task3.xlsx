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ojects\FUTUREINTERNS\task03\"/>
    </mc:Choice>
  </mc:AlternateContent>
  <xr:revisionPtr revIDLastSave="0" documentId="13_ncr:1_{53DCA776-3138-4005-A7A9-94FA0A684441}" xr6:coauthVersionLast="47" xr6:coauthVersionMax="47" xr10:uidLastSave="{00000000-0000-0000-0000-000000000000}"/>
  <bookViews>
    <workbookView xWindow="-108" yWindow="-108" windowWidth="23256" windowHeight="12456" activeTab="2" xr2:uid="{5E141484-F545-4B4B-9B72-39809BBFF30E}"/>
  </bookViews>
  <sheets>
    <sheet name="Sheet2" sheetId="2" r:id="rId1"/>
    <sheet name="Sheet3" sheetId="3" r:id="rId2"/>
    <sheet name="Insights" sheetId="4" r:id="rId3"/>
    <sheet name="Sheet1" sheetId="1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5" i="3"/>
  <c r="D6" i="3"/>
  <c r="D7" i="3"/>
  <c r="D8" i="3"/>
  <c r="D4" i="3"/>
  <c r="D3" i="1"/>
  <c r="E3" i="1" s="1"/>
  <c r="F3" i="1" s="1"/>
  <c r="D4" i="1"/>
  <c r="E4" i="1" s="1"/>
  <c r="F4" i="1" s="1"/>
  <c r="D5" i="1"/>
  <c r="E5" i="1" s="1"/>
  <c r="F5" i="1" s="1"/>
  <c r="D6" i="1"/>
  <c r="E6" i="1" s="1"/>
  <c r="F6" i="1" s="1"/>
  <c r="D7" i="1"/>
  <c r="E7" i="1" s="1"/>
  <c r="F7" i="1" s="1"/>
  <c r="D8" i="1"/>
  <c r="E8" i="1" s="1"/>
  <c r="F8" i="1" s="1"/>
  <c r="D9" i="1"/>
  <c r="E9" i="1" s="1"/>
  <c r="F9" i="1" s="1"/>
  <c r="D10" i="1"/>
  <c r="E10" i="1" s="1"/>
  <c r="F10" i="1" s="1"/>
  <c r="D11" i="1"/>
  <c r="E11" i="1" s="1"/>
  <c r="F11" i="1" s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7" i="1"/>
  <c r="E17" i="1" s="1"/>
  <c r="F17" i="1" s="1"/>
  <c r="D18" i="1"/>
  <c r="E18" i="1" s="1"/>
  <c r="F18" i="1" s="1"/>
  <c r="D19" i="1"/>
  <c r="E19" i="1" s="1"/>
  <c r="F19" i="1" s="1"/>
  <c r="D20" i="1"/>
  <c r="E20" i="1" s="1"/>
  <c r="F20" i="1" s="1"/>
  <c r="D21" i="1"/>
  <c r="E21" i="1" s="1"/>
  <c r="F21" i="1" s="1"/>
  <c r="D22" i="1"/>
  <c r="E22" i="1" s="1"/>
  <c r="F22" i="1" s="1"/>
  <c r="D23" i="1"/>
  <c r="E23" i="1" s="1"/>
  <c r="F23" i="1" s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F27" i="1" s="1"/>
  <c r="D28" i="1"/>
  <c r="E28" i="1" s="1"/>
  <c r="F28" i="1" s="1"/>
  <c r="D29" i="1"/>
  <c r="E29" i="1" s="1"/>
  <c r="F29" i="1" s="1"/>
  <c r="D30" i="1"/>
  <c r="E30" i="1" s="1"/>
  <c r="F30" i="1" s="1"/>
  <c r="D31" i="1"/>
  <c r="E31" i="1" s="1"/>
  <c r="F31" i="1" s="1"/>
  <c r="D32" i="1"/>
  <c r="E32" i="1" s="1"/>
  <c r="F32" i="1" s="1"/>
  <c r="D33" i="1"/>
  <c r="E33" i="1" s="1"/>
  <c r="F33" i="1" s="1"/>
  <c r="D34" i="1"/>
  <c r="E34" i="1" s="1"/>
  <c r="F34" i="1" s="1"/>
  <c r="D35" i="1"/>
  <c r="E35" i="1" s="1"/>
  <c r="F35" i="1" s="1"/>
  <c r="D36" i="1"/>
  <c r="E36" i="1" s="1"/>
  <c r="F36" i="1" s="1"/>
  <c r="D37" i="1"/>
  <c r="E37" i="1" s="1"/>
  <c r="F37" i="1" s="1"/>
  <c r="D38" i="1"/>
  <c r="E38" i="1" s="1"/>
  <c r="F38" i="1" s="1"/>
  <c r="D39" i="1"/>
  <c r="E39" i="1" s="1"/>
  <c r="F39" i="1" s="1"/>
  <c r="D40" i="1"/>
  <c r="E40" i="1" s="1"/>
  <c r="F40" i="1" s="1"/>
  <c r="D41" i="1"/>
  <c r="E41" i="1" s="1"/>
  <c r="F41" i="1" s="1"/>
  <c r="D42" i="1"/>
  <c r="E42" i="1" s="1"/>
  <c r="F42" i="1" s="1"/>
  <c r="D43" i="1"/>
  <c r="E43" i="1" s="1"/>
  <c r="F43" i="1" s="1"/>
  <c r="D44" i="1"/>
  <c r="E44" i="1" s="1"/>
  <c r="F44" i="1" s="1"/>
  <c r="D45" i="1"/>
  <c r="E45" i="1" s="1"/>
  <c r="F45" i="1" s="1"/>
  <c r="D46" i="1"/>
  <c r="E46" i="1" s="1"/>
  <c r="F46" i="1" s="1"/>
  <c r="D47" i="1"/>
  <c r="E47" i="1" s="1"/>
  <c r="F47" i="1" s="1"/>
  <c r="D48" i="1"/>
  <c r="E48" i="1" s="1"/>
  <c r="F48" i="1" s="1"/>
  <c r="D49" i="1"/>
  <c r="E49" i="1" s="1"/>
  <c r="F49" i="1" s="1"/>
  <c r="D50" i="1"/>
  <c r="E50" i="1" s="1"/>
  <c r="F50" i="1" s="1"/>
  <c r="D51" i="1"/>
  <c r="E51" i="1" s="1"/>
  <c r="F51" i="1" s="1"/>
  <c r="D52" i="1"/>
  <c r="E52" i="1" s="1"/>
  <c r="F52" i="1" s="1"/>
  <c r="D53" i="1"/>
  <c r="E53" i="1" s="1"/>
  <c r="F53" i="1" s="1"/>
  <c r="D54" i="1"/>
  <c r="E54" i="1" s="1"/>
  <c r="F54" i="1" s="1"/>
  <c r="D55" i="1"/>
  <c r="E55" i="1" s="1"/>
  <c r="F55" i="1" s="1"/>
  <c r="D56" i="1"/>
  <c r="E56" i="1" s="1"/>
  <c r="F56" i="1" s="1"/>
  <c r="D57" i="1"/>
  <c r="E57" i="1" s="1"/>
  <c r="F57" i="1" s="1"/>
  <c r="D58" i="1"/>
  <c r="E58" i="1" s="1"/>
  <c r="F58" i="1" s="1"/>
  <c r="D59" i="1"/>
  <c r="E59" i="1" s="1"/>
  <c r="F59" i="1" s="1"/>
  <c r="D60" i="1"/>
  <c r="E60" i="1" s="1"/>
  <c r="F60" i="1" s="1"/>
  <c r="D61" i="1"/>
  <c r="E61" i="1" s="1"/>
  <c r="F61" i="1" s="1"/>
  <c r="D62" i="1"/>
  <c r="E62" i="1" s="1"/>
  <c r="F62" i="1" s="1"/>
  <c r="D63" i="1"/>
  <c r="E63" i="1" s="1"/>
  <c r="F63" i="1" s="1"/>
  <c r="D64" i="1"/>
  <c r="E64" i="1" s="1"/>
  <c r="F64" i="1" s="1"/>
  <c r="D65" i="1"/>
  <c r="E65" i="1" s="1"/>
  <c r="F65" i="1" s="1"/>
  <c r="D66" i="1"/>
  <c r="E66" i="1" s="1"/>
  <c r="F66" i="1" s="1"/>
  <c r="D67" i="1"/>
  <c r="E67" i="1" s="1"/>
  <c r="F67" i="1" s="1"/>
  <c r="D68" i="1"/>
  <c r="E68" i="1" s="1"/>
  <c r="F68" i="1" s="1"/>
  <c r="D69" i="1"/>
  <c r="E69" i="1" s="1"/>
  <c r="F69" i="1" s="1"/>
  <c r="D70" i="1"/>
  <c r="E70" i="1" s="1"/>
  <c r="F70" i="1" s="1"/>
  <c r="D71" i="1"/>
  <c r="E71" i="1" s="1"/>
  <c r="F71" i="1" s="1"/>
  <c r="D72" i="1"/>
  <c r="E72" i="1" s="1"/>
  <c r="F72" i="1" s="1"/>
  <c r="D73" i="1"/>
  <c r="E73" i="1" s="1"/>
  <c r="F73" i="1" s="1"/>
  <c r="D74" i="1"/>
  <c r="E74" i="1" s="1"/>
  <c r="F74" i="1" s="1"/>
  <c r="D75" i="1"/>
  <c r="E75" i="1" s="1"/>
  <c r="F75" i="1" s="1"/>
  <c r="D76" i="1"/>
  <c r="E76" i="1" s="1"/>
  <c r="F76" i="1" s="1"/>
  <c r="D77" i="1"/>
  <c r="E77" i="1" s="1"/>
  <c r="F77" i="1" s="1"/>
  <c r="D78" i="1"/>
  <c r="E78" i="1" s="1"/>
  <c r="F78" i="1" s="1"/>
  <c r="D79" i="1"/>
  <c r="E79" i="1" s="1"/>
  <c r="F79" i="1" s="1"/>
  <c r="D80" i="1"/>
  <c r="E80" i="1" s="1"/>
  <c r="F80" i="1" s="1"/>
  <c r="D81" i="1"/>
  <c r="E81" i="1" s="1"/>
  <c r="F81" i="1" s="1"/>
  <c r="D82" i="1"/>
  <c r="E82" i="1" s="1"/>
  <c r="F82" i="1" s="1"/>
  <c r="D83" i="1"/>
  <c r="E83" i="1" s="1"/>
  <c r="F83" i="1" s="1"/>
  <c r="D84" i="1"/>
  <c r="E84" i="1" s="1"/>
  <c r="F84" i="1" s="1"/>
  <c r="D85" i="1"/>
  <c r="E85" i="1" s="1"/>
  <c r="F85" i="1" s="1"/>
  <c r="D86" i="1"/>
  <c r="E86" i="1" s="1"/>
  <c r="F86" i="1" s="1"/>
  <c r="D87" i="1"/>
  <c r="E87" i="1" s="1"/>
  <c r="F87" i="1" s="1"/>
  <c r="D88" i="1"/>
  <c r="E88" i="1" s="1"/>
  <c r="F88" i="1" s="1"/>
  <c r="D89" i="1"/>
  <c r="E89" i="1" s="1"/>
  <c r="F89" i="1" s="1"/>
  <c r="D90" i="1"/>
  <c r="E90" i="1" s="1"/>
  <c r="F90" i="1" s="1"/>
  <c r="D91" i="1"/>
  <c r="E91" i="1" s="1"/>
  <c r="F91" i="1" s="1"/>
  <c r="D92" i="1"/>
  <c r="E92" i="1" s="1"/>
  <c r="F92" i="1" s="1"/>
  <c r="D93" i="1"/>
  <c r="E93" i="1" s="1"/>
  <c r="F93" i="1" s="1"/>
  <c r="D94" i="1"/>
  <c r="E94" i="1" s="1"/>
  <c r="F94" i="1" s="1"/>
  <c r="D95" i="1"/>
  <c r="E95" i="1" s="1"/>
  <c r="F95" i="1" s="1"/>
  <c r="D96" i="1"/>
  <c r="E96" i="1" s="1"/>
  <c r="F96" i="1" s="1"/>
  <c r="D97" i="1"/>
  <c r="E97" i="1" s="1"/>
  <c r="F97" i="1" s="1"/>
  <c r="D98" i="1"/>
  <c r="E98" i="1" s="1"/>
  <c r="F98" i="1" s="1"/>
  <c r="D99" i="1"/>
  <c r="E99" i="1" s="1"/>
  <c r="F99" i="1" s="1"/>
  <c r="D100" i="1"/>
  <c r="E100" i="1" s="1"/>
  <c r="F100" i="1" s="1"/>
  <c r="D101" i="1"/>
  <c r="E101" i="1" s="1"/>
  <c r="F101" i="1" s="1"/>
  <c r="D102" i="1"/>
  <c r="E102" i="1" s="1"/>
  <c r="F102" i="1" s="1"/>
  <c r="D103" i="1"/>
  <c r="E103" i="1" s="1"/>
  <c r="F103" i="1" s="1"/>
  <c r="D104" i="1"/>
  <c r="E104" i="1" s="1"/>
  <c r="F104" i="1" s="1"/>
  <c r="D105" i="1"/>
  <c r="E105" i="1" s="1"/>
  <c r="F105" i="1" s="1"/>
  <c r="D106" i="1"/>
  <c r="E106" i="1" s="1"/>
  <c r="F106" i="1" s="1"/>
  <c r="D107" i="1"/>
  <c r="E107" i="1" s="1"/>
  <c r="F107" i="1" s="1"/>
  <c r="D108" i="1"/>
  <c r="E108" i="1" s="1"/>
  <c r="F108" i="1" s="1"/>
  <c r="D109" i="1"/>
  <c r="E109" i="1" s="1"/>
  <c r="F109" i="1" s="1"/>
  <c r="D110" i="1"/>
  <c r="E110" i="1" s="1"/>
  <c r="F110" i="1" s="1"/>
  <c r="D111" i="1"/>
  <c r="E111" i="1" s="1"/>
  <c r="F111" i="1" s="1"/>
  <c r="D112" i="1"/>
  <c r="E112" i="1" s="1"/>
  <c r="F112" i="1" s="1"/>
  <c r="D113" i="1"/>
  <c r="E113" i="1" s="1"/>
  <c r="F113" i="1" s="1"/>
  <c r="D114" i="1"/>
  <c r="E114" i="1" s="1"/>
  <c r="F114" i="1" s="1"/>
  <c r="D115" i="1"/>
  <c r="E115" i="1" s="1"/>
  <c r="F115" i="1" s="1"/>
  <c r="D116" i="1"/>
  <c r="E116" i="1" s="1"/>
  <c r="F116" i="1" s="1"/>
  <c r="D117" i="1"/>
  <c r="E117" i="1" s="1"/>
  <c r="F117" i="1" s="1"/>
  <c r="D118" i="1"/>
  <c r="E118" i="1" s="1"/>
  <c r="F118" i="1" s="1"/>
  <c r="D119" i="1"/>
  <c r="E119" i="1" s="1"/>
  <c r="F119" i="1" s="1"/>
  <c r="D120" i="1"/>
  <c r="E120" i="1" s="1"/>
  <c r="F120" i="1" s="1"/>
  <c r="D121" i="1"/>
  <c r="E121" i="1" s="1"/>
  <c r="F121" i="1" s="1"/>
  <c r="D122" i="1"/>
  <c r="E122" i="1" s="1"/>
  <c r="F122" i="1" s="1"/>
  <c r="D123" i="1"/>
  <c r="E123" i="1" s="1"/>
  <c r="F123" i="1" s="1"/>
  <c r="D124" i="1"/>
  <c r="E124" i="1" s="1"/>
  <c r="F124" i="1" s="1"/>
  <c r="D125" i="1"/>
  <c r="E125" i="1" s="1"/>
  <c r="F125" i="1" s="1"/>
  <c r="D126" i="1"/>
  <c r="E126" i="1" s="1"/>
  <c r="F126" i="1" s="1"/>
  <c r="D127" i="1"/>
  <c r="E127" i="1" s="1"/>
  <c r="F127" i="1" s="1"/>
  <c r="D128" i="1"/>
  <c r="E128" i="1" s="1"/>
  <c r="F128" i="1" s="1"/>
  <c r="D129" i="1"/>
  <c r="E129" i="1" s="1"/>
  <c r="F129" i="1" s="1"/>
  <c r="D130" i="1"/>
  <c r="E130" i="1" s="1"/>
  <c r="F130" i="1" s="1"/>
  <c r="D131" i="1"/>
  <c r="E131" i="1" s="1"/>
  <c r="F131" i="1" s="1"/>
  <c r="D132" i="1"/>
  <c r="E132" i="1" s="1"/>
  <c r="F132" i="1" s="1"/>
  <c r="D133" i="1"/>
  <c r="E133" i="1" s="1"/>
  <c r="F133" i="1" s="1"/>
  <c r="D134" i="1"/>
  <c r="E134" i="1" s="1"/>
  <c r="F134" i="1" s="1"/>
  <c r="D135" i="1"/>
  <c r="E135" i="1" s="1"/>
  <c r="F135" i="1" s="1"/>
  <c r="D136" i="1"/>
  <c r="E136" i="1" s="1"/>
  <c r="F136" i="1" s="1"/>
  <c r="D137" i="1"/>
  <c r="E137" i="1" s="1"/>
  <c r="F137" i="1" s="1"/>
  <c r="D138" i="1"/>
  <c r="E138" i="1" s="1"/>
  <c r="F138" i="1" s="1"/>
  <c r="D139" i="1"/>
  <c r="E139" i="1" s="1"/>
  <c r="F139" i="1" s="1"/>
  <c r="D140" i="1"/>
  <c r="E140" i="1" s="1"/>
  <c r="F140" i="1" s="1"/>
  <c r="D141" i="1"/>
  <c r="E141" i="1" s="1"/>
  <c r="F141" i="1" s="1"/>
  <c r="D142" i="1"/>
  <c r="E142" i="1" s="1"/>
  <c r="F142" i="1" s="1"/>
  <c r="D143" i="1"/>
  <c r="E143" i="1" s="1"/>
  <c r="F143" i="1" s="1"/>
  <c r="D144" i="1"/>
  <c r="E144" i="1" s="1"/>
  <c r="F144" i="1" s="1"/>
  <c r="D145" i="1"/>
  <c r="E145" i="1" s="1"/>
  <c r="F145" i="1" s="1"/>
  <c r="D146" i="1"/>
  <c r="E146" i="1" s="1"/>
  <c r="F146" i="1" s="1"/>
  <c r="D147" i="1"/>
  <c r="E147" i="1" s="1"/>
  <c r="F147" i="1" s="1"/>
  <c r="D148" i="1"/>
  <c r="E148" i="1" s="1"/>
  <c r="F148" i="1" s="1"/>
  <c r="D149" i="1"/>
  <c r="E149" i="1" s="1"/>
  <c r="F149" i="1" s="1"/>
  <c r="D150" i="1"/>
  <c r="E150" i="1" s="1"/>
  <c r="F150" i="1" s="1"/>
  <c r="D151" i="1"/>
  <c r="E151" i="1" s="1"/>
  <c r="F151" i="1" s="1"/>
  <c r="D152" i="1"/>
  <c r="E152" i="1" s="1"/>
  <c r="F152" i="1" s="1"/>
  <c r="D153" i="1"/>
  <c r="E153" i="1" s="1"/>
  <c r="F153" i="1" s="1"/>
  <c r="D154" i="1"/>
  <c r="E154" i="1" s="1"/>
  <c r="F154" i="1" s="1"/>
  <c r="D155" i="1"/>
  <c r="E155" i="1" s="1"/>
  <c r="F155" i="1" s="1"/>
  <c r="D156" i="1"/>
  <c r="E156" i="1" s="1"/>
  <c r="F156" i="1" s="1"/>
  <c r="D157" i="1"/>
  <c r="E157" i="1" s="1"/>
  <c r="F157" i="1" s="1"/>
  <c r="D158" i="1"/>
  <c r="E158" i="1" s="1"/>
  <c r="F158" i="1" s="1"/>
  <c r="D159" i="1"/>
  <c r="E159" i="1" s="1"/>
  <c r="F159" i="1" s="1"/>
  <c r="D160" i="1"/>
  <c r="E160" i="1" s="1"/>
  <c r="F160" i="1" s="1"/>
  <c r="D161" i="1"/>
  <c r="E161" i="1" s="1"/>
  <c r="F161" i="1" s="1"/>
  <c r="D162" i="1"/>
  <c r="E162" i="1" s="1"/>
  <c r="F162" i="1" s="1"/>
  <c r="D163" i="1"/>
  <c r="E163" i="1" s="1"/>
  <c r="F163" i="1" s="1"/>
  <c r="D164" i="1"/>
  <c r="E164" i="1" s="1"/>
  <c r="F164" i="1" s="1"/>
  <c r="D165" i="1"/>
  <c r="E165" i="1" s="1"/>
  <c r="F165" i="1" s="1"/>
  <c r="D166" i="1"/>
  <c r="E166" i="1" s="1"/>
  <c r="F166" i="1" s="1"/>
  <c r="D167" i="1"/>
  <c r="E167" i="1" s="1"/>
  <c r="F167" i="1" s="1"/>
  <c r="D168" i="1"/>
  <c r="E168" i="1" s="1"/>
  <c r="F168" i="1" s="1"/>
  <c r="D169" i="1"/>
  <c r="E169" i="1" s="1"/>
  <c r="F169" i="1" s="1"/>
  <c r="D170" i="1"/>
  <c r="E170" i="1" s="1"/>
  <c r="F170" i="1" s="1"/>
  <c r="D171" i="1"/>
  <c r="E171" i="1" s="1"/>
  <c r="F171" i="1" s="1"/>
  <c r="D172" i="1"/>
  <c r="E172" i="1" s="1"/>
  <c r="F172" i="1" s="1"/>
  <c r="D173" i="1"/>
  <c r="E173" i="1" s="1"/>
  <c r="F173" i="1" s="1"/>
  <c r="D174" i="1"/>
  <c r="E174" i="1" s="1"/>
  <c r="F174" i="1" s="1"/>
  <c r="D175" i="1"/>
  <c r="E175" i="1" s="1"/>
  <c r="F175" i="1" s="1"/>
  <c r="D176" i="1"/>
  <c r="E176" i="1" s="1"/>
  <c r="F176" i="1" s="1"/>
  <c r="D177" i="1"/>
  <c r="E177" i="1" s="1"/>
  <c r="F177" i="1" s="1"/>
  <c r="D178" i="1"/>
  <c r="E178" i="1" s="1"/>
  <c r="F178" i="1" s="1"/>
  <c r="D179" i="1"/>
  <c r="E179" i="1" s="1"/>
  <c r="F179" i="1" s="1"/>
  <c r="D180" i="1"/>
  <c r="E180" i="1" s="1"/>
  <c r="F180" i="1" s="1"/>
  <c r="D181" i="1"/>
  <c r="E181" i="1" s="1"/>
  <c r="F181" i="1" s="1"/>
  <c r="D182" i="1"/>
  <c r="E182" i="1" s="1"/>
  <c r="F182" i="1" s="1"/>
  <c r="D183" i="1"/>
  <c r="E183" i="1" s="1"/>
  <c r="F183" i="1" s="1"/>
  <c r="D184" i="1"/>
  <c r="E184" i="1" s="1"/>
  <c r="F184" i="1" s="1"/>
  <c r="D185" i="1"/>
  <c r="E185" i="1" s="1"/>
  <c r="F185" i="1" s="1"/>
  <c r="D186" i="1"/>
  <c r="E186" i="1" s="1"/>
  <c r="F186" i="1" s="1"/>
  <c r="D187" i="1"/>
  <c r="E187" i="1" s="1"/>
  <c r="F187" i="1" s="1"/>
  <c r="D188" i="1"/>
  <c r="E188" i="1" s="1"/>
  <c r="F188" i="1" s="1"/>
  <c r="D189" i="1"/>
  <c r="E189" i="1" s="1"/>
  <c r="F189" i="1" s="1"/>
  <c r="D190" i="1"/>
  <c r="E190" i="1" s="1"/>
  <c r="F190" i="1" s="1"/>
  <c r="D191" i="1"/>
  <c r="E191" i="1" s="1"/>
  <c r="F191" i="1" s="1"/>
  <c r="D192" i="1"/>
  <c r="E192" i="1" s="1"/>
  <c r="F192" i="1" s="1"/>
  <c r="D193" i="1"/>
  <c r="E193" i="1" s="1"/>
  <c r="F193" i="1" s="1"/>
  <c r="D194" i="1"/>
  <c r="E194" i="1" s="1"/>
  <c r="F194" i="1" s="1"/>
  <c r="D195" i="1"/>
  <c r="E195" i="1" s="1"/>
  <c r="F195" i="1" s="1"/>
  <c r="D196" i="1"/>
  <c r="E196" i="1" s="1"/>
  <c r="F196" i="1" s="1"/>
  <c r="D197" i="1"/>
  <c r="E197" i="1" s="1"/>
  <c r="F197" i="1" s="1"/>
  <c r="D198" i="1"/>
  <c r="E198" i="1" s="1"/>
  <c r="F198" i="1" s="1"/>
  <c r="D199" i="1"/>
  <c r="E199" i="1" s="1"/>
  <c r="F199" i="1" s="1"/>
  <c r="D200" i="1"/>
  <c r="E200" i="1" s="1"/>
  <c r="F200" i="1" s="1"/>
  <c r="D201" i="1"/>
  <c r="E201" i="1" s="1"/>
  <c r="F201" i="1" s="1"/>
  <c r="D2" i="1"/>
  <c r="E2" i="1" s="1"/>
  <c r="F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" i="1"/>
</calcChain>
</file>

<file path=xl/sharedStrings.xml><?xml version="1.0" encoding="utf-8"?>
<sst xmlns="http://schemas.openxmlformats.org/spreadsheetml/2006/main" count="65" uniqueCount="45">
  <si>
    <t>lead_ID</t>
  </si>
  <si>
    <t>Date</t>
  </si>
  <si>
    <t>Channel</t>
  </si>
  <si>
    <t>Funnel_stage</t>
  </si>
  <si>
    <t>Converted</t>
  </si>
  <si>
    <t>Revenue</t>
  </si>
  <si>
    <t>Row Labels</t>
  </si>
  <si>
    <t>Customer</t>
  </si>
  <si>
    <t>Lead</t>
  </si>
  <si>
    <t>MQL</t>
  </si>
  <si>
    <t>SQL</t>
  </si>
  <si>
    <t>Visitor</t>
  </si>
  <si>
    <t>Grand Total</t>
  </si>
  <si>
    <t>Count of lead_ID</t>
  </si>
  <si>
    <t>Email</t>
  </si>
  <si>
    <t>Organic Search</t>
  </si>
  <si>
    <t>Paid Search</t>
  </si>
  <si>
    <t>Paid Social</t>
  </si>
  <si>
    <t>Referral</t>
  </si>
  <si>
    <t>Sum of Revenue</t>
  </si>
  <si>
    <t>Conv rate %</t>
  </si>
  <si>
    <t>channel</t>
  </si>
  <si>
    <t>Conv Rate %</t>
  </si>
  <si>
    <t xml:space="preserve">Paid Search </t>
  </si>
  <si>
    <t>MARKETING FUNNEL &amp; CONVERSION PERFORMANCE ANALYSIS</t>
  </si>
  <si>
    <t>====================================================</t>
  </si>
  <si>
    <t>Internship Task 3 | Future Interns | Data Science</t>
  </si>
  <si>
    <t>FINDING 1: Critical Drop-off at MQL to SQL Stage</t>
  </si>
  <si>
    <t>Observation:</t>
  </si>
  <si>
    <t>- Total MQLs: 27 | Total SQLs: 14</t>
  </si>
  <si>
    <t>- Drop-off rate: 48% of MQLs did not convert to SQL</t>
  </si>
  <si>
    <t>Recommendation:</t>
  </si>
  <si>
    <t>- Follow up with MQLs within 24 hours of qualification</t>
  </si>
  <si>
    <t>FINDING 2: Paid Search is the Highest Revenue Channel</t>
  </si>
  <si>
    <t>- Paid Search generated highest revenue: Rs 31,56,300</t>
  </si>
  <si>
    <t>- Conversion rate: 23% (highest among all channels)</t>
  </si>
  <si>
    <t>FINDING 3: Email Marketing is Underperforming</t>
  </si>
  <si>
    <t>- Email has the lowest conversion rate: 16%</t>
  </si>
  <si>
    <t>- Lowest among all 5 channels</t>
  </si>
  <si>
    <t>SUMMARY</t>
  </si>
  <si>
    <t>Total Leads Analysed : 200</t>
  </si>
  <si>
    <t>Total Customers Won  : 21</t>
  </si>
  <si>
    <t>Overall Conv. Rate   : 10.5%</t>
  </si>
  <si>
    <t>Top Channel          : Paid Search (Rs 31,56,300)</t>
  </si>
  <si>
    <t>Biggest Drop-off     : MQL to SQL (48% 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</si>
</sst>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[task3.xlsx]Sheet2!PivotTable1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Marketing Funnel - Stage Drop-off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9F8-4621-9742-431C760FF3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Visitor</c:v>
                </c:pt>
                <c:pt idx="1">
                  <c:v>Lead</c:v>
                </c:pt>
                <c:pt idx="2">
                  <c:v>MQL</c:v>
                </c:pt>
                <c:pt idx="3">
                  <c:v>SQL</c:v>
                </c:pt>
                <c:pt idx="4">
                  <c:v>Customer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74</c:v>
                </c:pt>
                <c:pt idx="1">
                  <c:v>64</c:v>
                </c:pt>
                <c:pt idx="2">
                  <c:v>27</c:v>
                </c:pt>
                <c:pt idx="3">
                  <c:v>14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8-4621-9742-431C760FF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1927087"/>
        <c:axId val="591926607"/>
      </c:barChart>
      <c:catAx>
        <c:axId val="59192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926607"/>
        <c:crosses val="autoZero"/>
        <c:auto val="1"/>
        <c:lblAlgn val="ctr"/>
        <c:lblOffset val="100"/>
        <c:noMultiLvlLbl val="0"/>
      </c:catAx>
      <c:valAx>
        <c:axId val="59192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92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IN" sz="1400" b="0" i="0" u="none" strike="noStrike" baseline="0"/>
              <a:t>Channel Conversion Rate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Sheet3!$H$3</c:f>
              <c:strCache>
                <c:ptCount val="1"/>
                <c:pt idx="0">
                  <c:v>Conv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Sheet3!$G$4:$G$8</c:f>
              <c:strCache>
                <c:ptCount val="5"/>
                <c:pt idx="0">
                  <c:v>Email</c:v>
                </c:pt>
                <c:pt idx="1">
                  <c:v>Organic Search</c:v>
                </c:pt>
                <c:pt idx="2">
                  <c:v>Paid Search </c:v>
                </c:pt>
                <c:pt idx="3">
                  <c:v>Paid Social</c:v>
                </c:pt>
                <c:pt idx="4">
                  <c:v>Referral</c:v>
                </c:pt>
              </c:strCache>
            </c:strRef>
          </c:cat>
          <c:val>
            <c:numRef>
              <c:f>Sheet3!$H$4:$H$8</c:f>
              <c:numCache>
                <c:formatCode>General</c:formatCode>
                <c:ptCount val="5"/>
                <c:pt idx="0">
                  <c:v>16</c:v>
                </c:pt>
                <c:pt idx="1">
                  <c:v>22</c:v>
                </c:pt>
                <c:pt idx="2">
                  <c:v>23</c:v>
                </c:pt>
                <c:pt idx="3">
                  <c:v>18.5</c:v>
                </c:pt>
                <c:pt idx="4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F-47E2-A0EA-ADDBC999A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779663"/>
        <c:axId val="736780143"/>
      </c:barChart>
      <c:catAx>
        <c:axId val="73677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780143"/>
        <c:crosses val="autoZero"/>
        <c:auto val="1"/>
        <c:lblAlgn val="ctr"/>
        <c:lblOffset val="100"/>
        <c:noMultiLvlLbl val="0"/>
      </c:catAx>
      <c:valAx>
        <c:axId val="73678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77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6</xdr:row>
      <xdr:rowOff>41910</xdr:rowOff>
    </xdr:from>
    <xdr:to>
      <xdr:col>11</xdr:col>
      <xdr:colOff>373380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C07A7E-970B-CA46-0479-4BAB7D3C7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11</xdr:row>
      <xdr:rowOff>95250</xdr:rowOff>
    </xdr:from>
    <xdr:to>
      <xdr:col>8</xdr:col>
      <xdr:colOff>152400</xdr:colOff>
      <xdr:row>26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271C19-85D3-6D69-08E5-04395E3C0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" refreshedDate="46103.479130671294" createdVersion="8" refreshedVersion="8" minRefreshableVersion="3" recordCount="200" xr:uid="{E065480F-92CA-44D2-ADC6-3BD22055F419}">
  <cacheSource type="worksheet">
    <worksheetSource ref="A1:F201" sheet="Sheet1"/>
  </cacheSource>
  <cacheFields count="6">
    <cacheField name="lead_ID" numFmtId="0">
      <sharedItems containsSemiMixedTypes="0" containsString="0" containsNumber="1" containsInteger="1" minValue="1" maxValue="200"/>
    </cacheField>
    <cacheField name="Date" numFmtId="14">
      <sharedItems containsSemiMixedTypes="0" containsNonDate="0" containsDate="1" containsString="0" minDate="2025-12-22T00:00:00" maxDate="2026-03-22T00:00:00"/>
    </cacheField>
    <cacheField name="Channel" numFmtId="0">
      <sharedItems count="5">
        <s v="Referral"/>
        <s v="Paid Search"/>
        <s v="Organic Search"/>
        <s v="Paid Social"/>
        <s v="Email"/>
      </sharedItems>
    </cacheField>
    <cacheField name="Funnel_stage" numFmtId="0">
      <sharedItems count="5">
        <s v="Visitor"/>
        <s v="Lead"/>
        <s v="Customer"/>
        <s v="MQL"/>
        <s v="SQL"/>
      </sharedItems>
    </cacheField>
    <cacheField name="Converted" numFmtId="0">
      <sharedItems/>
    </cacheField>
    <cacheField name="Revenue" numFmtId="0">
      <sharedItems containsSemiMixedTypes="0" containsString="0" containsNumber="1" containsInteger="1" minValue="0" maxValue="479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d v="2026-03-12T00:00:00"/>
    <x v="0"/>
    <x v="0"/>
    <s v="No"/>
    <n v="0"/>
  </r>
  <r>
    <n v="2"/>
    <d v="2026-02-03T00:00:00"/>
    <x v="1"/>
    <x v="1"/>
    <s v="No"/>
    <n v="0"/>
  </r>
  <r>
    <n v="3"/>
    <d v="2026-02-27T00:00:00"/>
    <x v="1"/>
    <x v="2"/>
    <s v="Yes"/>
    <n v="357400"/>
  </r>
  <r>
    <n v="4"/>
    <d v="2026-02-24T00:00:00"/>
    <x v="2"/>
    <x v="1"/>
    <s v="No"/>
    <n v="0"/>
  </r>
  <r>
    <n v="5"/>
    <d v="2026-02-05T00:00:00"/>
    <x v="1"/>
    <x v="1"/>
    <s v="No"/>
    <n v="0"/>
  </r>
  <r>
    <n v="6"/>
    <d v="2026-03-20T00:00:00"/>
    <x v="3"/>
    <x v="1"/>
    <s v="No"/>
    <n v="0"/>
  </r>
  <r>
    <n v="7"/>
    <d v="2026-02-26T00:00:00"/>
    <x v="3"/>
    <x v="0"/>
    <s v="No"/>
    <n v="0"/>
  </r>
  <r>
    <n v="8"/>
    <d v="2025-12-30T00:00:00"/>
    <x v="3"/>
    <x v="2"/>
    <s v="Yes"/>
    <n v="128600"/>
  </r>
  <r>
    <n v="9"/>
    <d v="2026-01-06T00:00:00"/>
    <x v="4"/>
    <x v="0"/>
    <s v="No"/>
    <n v="0"/>
  </r>
  <r>
    <n v="10"/>
    <d v="2026-03-19T00:00:00"/>
    <x v="0"/>
    <x v="1"/>
    <s v="No"/>
    <n v="0"/>
  </r>
  <r>
    <n v="11"/>
    <d v="2026-03-08T00:00:00"/>
    <x v="0"/>
    <x v="3"/>
    <s v="No"/>
    <n v="0"/>
  </r>
  <r>
    <n v="12"/>
    <d v="2026-02-27T00:00:00"/>
    <x v="3"/>
    <x v="0"/>
    <s v="No"/>
    <n v="0"/>
  </r>
  <r>
    <n v="13"/>
    <d v="2026-02-25T00:00:00"/>
    <x v="0"/>
    <x v="1"/>
    <s v="No"/>
    <n v="0"/>
  </r>
  <r>
    <n v="14"/>
    <d v="2026-01-26T00:00:00"/>
    <x v="2"/>
    <x v="4"/>
    <s v="No"/>
    <n v="0"/>
  </r>
  <r>
    <n v="15"/>
    <d v="2025-12-29T00:00:00"/>
    <x v="0"/>
    <x v="3"/>
    <s v="No"/>
    <n v="0"/>
  </r>
  <r>
    <n v="16"/>
    <d v="2026-02-27T00:00:00"/>
    <x v="0"/>
    <x v="1"/>
    <s v="No"/>
    <n v="0"/>
  </r>
  <r>
    <n v="17"/>
    <d v="2026-03-05T00:00:00"/>
    <x v="2"/>
    <x v="1"/>
    <s v="No"/>
    <n v="0"/>
  </r>
  <r>
    <n v="18"/>
    <d v="2026-03-17T00:00:00"/>
    <x v="1"/>
    <x v="0"/>
    <s v="No"/>
    <n v="0"/>
  </r>
  <r>
    <n v="19"/>
    <d v="2026-03-07T00:00:00"/>
    <x v="2"/>
    <x v="2"/>
    <s v="Yes"/>
    <n v="381600"/>
  </r>
  <r>
    <n v="20"/>
    <d v="2026-02-02T00:00:00"/>
    <x v="2"/>
    <x v="0"/>
    <s v="No"/>
    <n v="0"/>
  </r>
  <r>
    <n v="21"/>
    <d v="2026-02-09T00:00:00"/>
    <x v="1"/>
    <x v="4"/>
    <s v="No"/>
    <n v="0"/>
  </r>
  <r>
    <n v="22"/>
    <d v="2026-01-09T00:00:00"/>
    <x v="3"/>
    <x v="0"/>
    <s v="No"/>
    <n v="0"/>
  </r>
  <r>
    <n v="23"/>
    <d v="2026-01-23T00:00:00"/>
    <x v="1"/>
    <x v="2"/>
    <s v="Yes"/>
    <n v="57800"/>
  </r>
  <r>
    <n v="24"/>
    <d v="2026-01-09T00:00:00"/>
    <x v="2"/>
    <x v="1"/>
    <s v="No"/>
    <n v="0"/>
  </r>
  <r>
    <n v="25"/>
    <d v="2026-02-14T00:00:00"/>
    <x v="0"/>
    <x v="1"/>
    <s v="No"/>
    <n v="0"/>
  </r>
  <r>
    <n v="26"/>
    <d v="2025-12-24T00:00:00"/>
    <x v="2"/>
    <x v="4"/>
    <s v="No"/>
    <n v="0"/>
  </r>
  <r>
    <n v="27"/>
    <d v="2026-02-12T00:00:00"/>
    <x v="1"/>
    <x v="3"/>
    <s v="No"/>
    <n v="0"/>
  </r>
  <r>
    <n v="28"/>
    <d v="2026-01-20T00:00:00"/>
    <x v="2"/>
    <x v="1"/>
    <s v="No"/>
    <n v="0"/>
  </r>
  <r>
    <n v="29"/>
    <d v="2026-01-08T00:00:00"/>
    <x v="3"/>
    <x v="1"/>
    <s v="No"/>
    <n v="0"/>
  </r>
  <r>
    <n v="30"/>
    <d v="2026-01-15T00:00:00"/>
    <x v="3"/>
    <x v="2"/>
    <s v="Yes"/>
    <n v="395300"/>
  </r>
  <r>
    <n v="31"/>
    <d v="2026-03-11T00:00:00"/>
    <x v="2"/>
    <x v="1"/>
    <s v="No"/>
    <n v="0"/>
  </r>
  <r>
    <n v="32"/>
    <d v="2026-02-08T00:00:00"/>
    <x v="4"/>
    <x v="0"/>
    <s v="No"/>
    <n v="0"/>
  </r>
  <r>
    <n v="33"/>
    <d v="2026-02-08T00:00:00"/>
    <x v="0"/>
    <x v="4"/>
    <s v="No"/>
    <n v="0"/>
  </r>
  <r>
    <n v="34"/>
    <d v="2026-03-16T00:00:00"/>
    <x v="0"/>
    <x v="1"/>
    <s v="No"/>
    <n v="0"/>
  </r>
  <r>
    <n v="35"/>
    <d v="2026-01-18T00:00:00"/>
    <x v="2"/>
    <x v="1"/>
    <s v="No"/>
    <n v="0"/>
  </r>
  <r>
    <n v="36"/>
    <d v="2026-02-15T00:00:00"/>
    <x v="1"/>
    <x v="0"/>
    <s v="No"/>
    <n v="0"/>
  </r>
  <r>
    <n v="37"/>
    <d v="2026-01-21T00:00:00"/>
    <x v="2"/>
    <x v="0"/>
    <s v="No"/>
    <n v="0"/>
  </r>
  <r>
    <n v="38"/>
    <d v="2026-01-24T00:00:00"/>
    <x v="1"/>
    <x v="0"/>
    <s v="No"/>
    <n v="0"/>
  </r>
  <r>
    <n v="39"/>
    <d v="2026-01-08T00:00:00"/>
    <x v="4"/>
    <x v="1"/>
    <s v="No"/>
    <n v="0"/>
  </r>
  <r>
    <n v="40"/>
    <d v="2026-03-05T00:00:00"/>
    <x v="3"/>
    <x v="2"/>
    <s v="Yes"/>
    <n v="238600"/>
  </r>
  <r>
    <n v="41"/>
    <d v="2026-03-19T00:00:00"/>
    <x v="1"/>
    <x v="0"/>
    <s v="No"/>
    <n v="0"/>
  </r>
  <r>
    <n v="42"/>
    <d v="2026-02-22T00:00:00"/>
    <x v="4"/>
    <x v="1"/>
    <s v="No"/>
    <n v="0"/>
  </r>
  <r>
    <n v="43"/>
    <d v="2026-01-21T00:00:00"/>
    <x v="3"/>
    <x v="0"/>
    <s v="No"/>
    <n v="0"/>
  </r>
  <r>
    <n v="44"/>
    <d v="2026-01-14T00:00:00"/>
    <x v="4"/>
    <x v="3"/>
    <s v="No"/>
    <n v="0"/>
  </r>
  <r>
    <n v="45"/>
    <d v="2026-01-30T00:00:00"/>
    <x v="1"/>
    <x v="0"/>
    <s v="No"/>
    <n v="0"/>
  </r>
  <r>
    <n v="46"/>
    <d v="2026-01-09T00:00:00"/>
    <x v="1"/>
    <x v="1"/>
    <s v="No"/>
    <n v="0"/>
  </r>
  <r>
    <n v="47"/>
    <d v="2026-01-16T00:00:00"/>
    <x v="0"/>
    <x v="0"/>
    <s v="No"/>
    <n v="0"/>
  </r>
  <r>
    <n v="48"/>
    <d v="2026-01-16T00:00:00"/>
    <x v="1"/>
    <x v="1"/>
    <s v="No"/>
    <n v="0"/>
  </r>
  <r>
    <n v="49"/>
    <d v="2026-02-16T00:00:00"/>
    <x v="1"/>
    <x v="4"/>
    <s v="No"/>
    <n v="0"/>
  </r>
  <r>
    <n v="50"/>
    <d v="2026-03-19T00:00:00"/>
    <x v="0"/>
    <x v="1"/>
    <s v="No"/>
    <n v="0"/>
  </r>
  <r>
    <n v="51"/>
    <d v="2026-01-11T00:00:00"/>
    <x v="0"/>
    <x v="1"/>
    <s v="No"/>
    <n v="0"/>
  </r>
  <r>
    <n v="52"/>
    <d v="2025-12-24T00:00:00"/>
    <x v="0"/>
    <x v="3"/>
    <s v="No"/>
    <n v="0"/>
  </r>
  <r>
    <n v="53"/>
    <d v="2026-01-25T00:00:00"/>
    <x v="3"/>
    <x v="3"/>
    <s v="No"/>
    <n v="0"/>
  </r>
  <r>
    <n v="54"/>
    <d v="2026-02-12T00:00:00"/>
    <x v="1"/>
    <x v="1"/>
    <s v="No"/>
    <n v="0"/>
  </r>
  <r>
    <n v="55"/>
    <d v="2026-02-13T00:00:00"/>
    <x v="4"/>
    <x v="4"/>
    <s v="No"/>
    <n v="0"/>
  </r>
  <r>
    <n v="56"/>
    <d v="2026-01-04T00:00:00"/>
    <x v="4"/>
    <x v="0"/>
    <s v="No"/>
    <n v="0"/>
  </r>
  <r>
    <n v="57"/>
    <d v="2026-02-06T00:00:00"/>
    <x v="4"/>
    <x v="4"/>
    <s v="No"/>
    <n v="0"/>
  </r>
  <r>
    <n v="58"/>
    <d v="2026-02-28T00:00:00"/>
    <x v="0"/>
    <x v="1"/>
    <s v="No"/>
    <n v="0"/>
  </r>
  <r>
    <n v="59"/>
    <d v="2026-03-04T00:00:00"/>
    <x v="3"/>
    <x v="0"/>
    <s v="No"/>
    <n v="0"/>
  </r>
  <r>
    <n v="60"/>
    <d v="2025-12-24T00:00:00"/>
    <x v="2"/>
    <x v="1"/>
    <s v="No"/>
    <n v="0"/>
  </r>
  <r>
    <n v="61"/>
    <d v="2026-02-05T00:00:00"/>
    <x v="2"/>
    <x v="4"/>
    <s v="No"/>
    <n v="0"/>
  </r>
  <r>
    <n v="62"/>
    <d v="2026-03-13T00:00:00"/>
    <x v="0"/>
    <x v="1"/>
    <s v="No"/>
    <n v="0"/>
  </r>
  <r>
    <n v="63"/>
    <d v="2026-02-15T00:00:00"/>
    <x v="0"/>
    <x v="1"/>
    <s v="No"/>
    <n v="0"/>
  </r>
  <r>
    <n v="64"/>
    <d v="2026-02-14T00:00:00"/>
    <x v="0"/>
    <x v="0"/>
    <s v="No"/>
    <n v="0"/>
  </r>
  <r>
    <n v="65"/>
    <d v="2026-02-22T00:00:00"/>
    <x v="0"/>
    <x v="0"/>
    <s v="No"/>
    <n v="0"/>
  </r>
  <r>
    <n v="66"/>
    <d v="2026-01-15T00:00:00"/>
    <x v="1"/>
    <x v="3"/>
    <s v="No"/>
    <n v="0"/>
  </r>
  <r>
    <n v="67"/>
    <d v="2026-01-04T00:00:00"/>
    <x v="4"/>
    <x v="0"/>
    <s v="No"/>
    <n v="0"/>
  </r>
  <r>
    <n v="68"/>
    <d v="2026-02-02T00:00:00"/>
    <x v="0"/>
    <x v="3"/>
    <s v="No"/>
    <n v="0"/>
  </r>
  <r>
    <n v="69"/>
    <d v="2026-03-20T00:00:00"/>
    <x v="2"/>
    <x v="0"/>
    <s v="No"/>
    <n v="0"/>
  </r>
  <r>
    <n v="70"/>
    <d v="2025-12-29T00:00:00"/>
    <x v="2"/>
    <x v="1"/>
    <s v="No"/>
    <n v="0"/>
  </r>
  <r>
    <n v="71"/>
    <d v="2025-12-26T00:00:00"/>
    <x v="2"/>
    <x v="0"/>
    <s v="No"/>
    <n v="0"/>
  </r>
  <r>
    <n v="72"/>
    <d v="2026-03-08T00:00:00"/>
    <x v="3"/>
    <x v="1"/>
    <s v="No"/>
    <n v="0"/>
  </r>
  <r>
    <n v="73"/>
    <d v="2026-03-15T00:00:00"/>
    <x v="4"/>
    <x v="1"/>
    <s v="No"/>
    <n v="0"/>
  </r>
  <r>
    <n v="74"/>
    <d v="2025-12-31T00:00:00"/>
    <x v="4"/>
    <x v="3"/>
    <s v="No"/>
    <n v="0"/>
  </r>
  <r>
    <n v="75"/>
    <d v="2026-01-10T00:00:00"/>
    <x v="0"/>
    <x v="0"/>
    <s v="No"/>
    <n v="0"/>
  </r>
  <r>
    <n v="76"/>
    <d v="2026-01-03T00:00:00"/>
    <x v="1"/>
    <x v="1"/>
    <s v="No"/>
    <n v="0"/>
  </r>
  <r>
    <n v="77"/>
    <d v="2026-02-01T00:00:00"/>
    <x v="4"/>
    <x v="2"/>
    <s v="Yes"/>
    <n v="123300"/>
  </r>
  <r>
    <n v="78"/>
    <d v="2026-01-22T00:00:00"/>
    <x v="1"/>
    <x v="2"/>
    <s v="Yes"/>
    <n v="467800"/>
  </r>
  <r>
    <n v="79"/>
    <d v="2026-02-09T00:00:00"/>
    <x v="3"/>
    <x v="0"/>
    <s v="No"/>
    <n v="0"/>
  </r>
  <r>
    <n v="80"/>
    <d v="2025-12-30T00:00:00"/>
    <x v="3"/>
    <x v="3"/>
    <s v="No"/>
    <n v="0"/>
  </r>
  <r>
    <n v="81"/>
    <d v="2026-01-28T00:00:00"/>
    <x v="1"/>
    <x v="0"/>
    <s v="No"/>
    <n v="0"/>
  </r>
  <r>
    <n v="82"/>
    <d v="2026-01-05T00:00:00"/>
    <x v="3"/>
    <x v="3"/>
    <s v="No"/>
    <n v="0"/>
  </r>
  <r>
    <n v="83"/>
    <d v="2026-02-22T00:00:00"/>
    <x v="0"/>
    <x v="1"/>
    <s v="No"/>
    <n v="0"/>
  </r>
  <r>
    <n v="84"/>
    <d v="2025-12-26T00:00:00"/>
    <x v="2"/>
    <x v="3"/>
    <s v="No"/>
    <n v="0"/>
  </r>
  <r>
    <n v="85"/>
    <d v="2026-03-10T00:00:00"/>
    <x v="1"/>
    <x v="1"/>
    <s v="No"/>
    <n v="0"/>
  </r>
  <r>
    <n v="86"/>
    <d v="2026-03-01T00:00:00"/>
    <x v="3"/>
    <x v="1"/>
    <s v="No"/>
    <n v="0"/>
  </r>
  <r>
    <n v="87"/>
    <d v="2026-03-04T00:00:00"/>
    <x v="4"/>
    <x v="0"/>
    <s v="No"/>
    <n v="0"/>
  </r>
  <r>
    <n v="88"/>
    <d v="2026-03-10T00:00:00"/>
    <x v="0"/>
    <x v="2"/>
    <s v="Yes"/>
    <n v="451200"/>
  </r>
  <r>
    <n v="89"/>
    <d v="2025-12-29T00:00:00"/>
    <x v="2"/>
    <x v="0"/>
    <s v="No"/>
    <n v="0"/>
  </r>
  <r>
    <n v="90"/>
    <d v="2026-01-05T00:00:00"/>
    <x v="2"/>
    <x v="3"/>
    <s v="No"/>
    <n v="0"/>
  </r>
  <r>
    <n v="91"/>
    <d v="2026-03-11T00:00:00"/>
    <x v="0"/>
    <x v="0"/>
    <s v="No"/>
    <n v="0"/>
  </r>
  <r>
    <n v="92"/>
    <d v="2026-02-24T00:00:00"/>
    <x v="3"/>
    <x v="4"/>
    <s v="No"/>
    <n v="0"/>
  </r>
  <r>
    <n v="93"/>
    <d v="2026-02-09T00:00:00"/>
    <x v="1"/>
    <x v="2"/>
    <s v="Yes"/>
    <n v="191800"/>
  </r>
  <r>
    <n v="94"/>
    <d v="2026-01-07T00:00:00"/>
    <x v="4"/>
    <x v="0"/>
    <s v="No"/>
    <n v="0"/>
  </r>
  <r>
    <n v="95"/>
    <d v="2026-02-18T00:00:00"/>
    <x v="4"/>
    <x v="1"/>
    <s v="No"/>
    <n v="0"/>
  </r>
  <r>
    <n v="96"/>
    <d v="2026-01-02T00:00:00"/>
    <x v="4"/>
    <x v="0"/>
    <s v="No"/>
    <n v="0"/>
  </r>
  <r>
    <n v="97"/>
    <d v="2026-01-14T00:00:00"/>
    <x v="0"/>
    <x v="1"/>
    <s v="No"/>
    <n v="0"/>
  </r>
  <r>
    <n v="98"/>
    <d v="2026-01-08T00:00:00"/>
    <x v="4"/>
    <x v="1"/>
    <s v="No"/>
    <n v="0"/>
  </r>
  <r>
    <n v="99"/>
    <d v="2026-02-28T00:00:00"/>
    <x v="1"/>
    <x v="2"/>
    <s v="Yes"/>
    <n v="446500"/>
  </r>
  <r>
    <n v="100"/>
    <d v="2026-01-19T00:00:00"/>
    <x v="3"/>
    <x v="0"/>
    <s v="No"/>
    <n v="0"/>
  </r>
  <r>
    <n v="101"/>
    <d v="2026-02-17T00:00:00"/>
    <x v="0"/>
    <x v="0"/>
    <s v="No"/>
    <n v="0"/>
  </r>
  <r>
    <n v="102"/>
    <d v="2025-12-24T00:00:00"/>
    <x v="0"/>
    <x v="2"/>
    <s v="Yes"/>
    <n v="142000"/>
  </r>
  <r>
    <n v="103"/>
    <d v="2025-12-30T00:00:00"/>
    <x v="3"/>
    <x v="3"/>
    <s v="No"/>
    <n v="0"/>
  </r>
  <r>
    <n v="104"/>
    <d v="2026-03-04T00:00:00"/>
    <x v="2"/>
    <x v="2"/>
    <s v="Yes"/>
    <n v="479600"/>
  </r>
  <r>
    <n v="105"/>
    <d v="2026-03-18T00:00:00"/>
    <x v="0"/>
    <x v="0"/>
    <s v="No"/>
    <n v="0"/>
  </r>
  <r>
    <n v="106"/>
    <d v="2026-02-18T00:00:00"/>
    <x v="3"/>
    <x v="1"/>
    <s v="No"/>
    <n v="0"/>
  </r>
  <r>
    <n v="107"/>
    <d v="2026-01-08T00:00:00"/>
    <x v="1"/>
    <x v="0"/>
    <s v="No"/>
    <n v="0"/>
  </r>
  <r>
    <n v="108"/>
    <d v="2026-02-22T00:00:00"/>
    <x v="4"/>
    <x v="1"/>
    <s v="No"/>
    <n v="0"/>
  </r>
  <r>
    <n v="109"/>
    <d v="2026-03-17T00:00:00"/>
    <x v="1"/>
    <x v="0"/>
    <s v="No"/>
    <n v="0"/>
  </r>
  <r>
    <n v="110"/>
    <d v="2026-03-06T00:00:00"/>
    <x v="2"/>
    <x v="1"/>
    <s v="No"/>
    <n v="0"/>
  </r>
  <r>
    <n v="111"/>
    <d v="2026-03-03T00:00:00"/>
    <x v="1"/>
    <x v="2"/>
    <s v="Yes"/>
    <n v="460800"/>
  </r>
  <r>
    <n v="112"/>
    <d v="2025-12-22T00:00:00"/>
    <x v="2"/>
    <x v="0"/>
    <s v="No"/>
    <n v="0"/>
  </r>
  <r>
    <n v="113"/>
    <d v="2026-01-26T00:00:00"/>
    <x v="2"/>
    <x v="0"/>
    <s v="No"/>
    <n v="0"/>
  </r>
  <r>
    <n v="114"/>
    <d v="2026-03-15T00:00:00"/>
    <x v="4"/>
    <x v="1"/>
    <s v="No"/>
    <n v="0"/>
  </r>
  <r>
    <n v="115"/>
    <d v="2026-01-29T00:00:00"/>
    <x v="4"/>
    <x v="0"/>
    <s v="No"/>
    <n v="0"/>
  </r>
  <r>
    <n v="116"/>
    <d v="2026-01-31T00:00:00"/>
    <x v="2"/>
    <x v="2"/>
    <s v="Yes"/>
    <n v="79200"/>
  </r>
  <r>
    <n v="117"/>
    <d v="2026-03-06T00:00:00"/>
    <x v="3"/>
    <x v="0"/>
    <s v="No"/>
    <n v="0"/>
  </r>
  <r>
    <n v="118"/>
    <d v="2026-01-14T00:00:00"/>
    <x v="3"/>
    <x v="0"/>
    <s v="No"/>
    <n v="0"/>
  </r>
  <r>
    <n v="119"/>
    <d v="2025-12-23T00:00:00"/>
    <x v="2"/>
    <x v="0"/>
    <s v="No"/>
    <n v="0"/>
  </r>
  <r>
    <n v="120"/>
    <d v="2026-01-16T00:00:00"/>
    <x v="0"/>
    <x v="0"/>
    <s v="No"/>
    <n v="0"/>
  </r>
  <r>
    <n v="121"/>
    <d v="2026-01-25T00:00:00"/>
    <x v="0"/>
    <x v="1"/>
    <s v="No"/>
    <n v="0"/>
  </r>
  <r>
    <n v="122"/>
    <d v="2025-12-25T00:00:00"/>
    <x v="3"/>
    <x v="0"/>
    <s v="No"/>
    <n v="0"/>
  </r>
  <r>
    <n v="123"/>
    <d v="2026-03-12T00:00:00"/>
    <x v="1"/>
    <x v="1"/>
    <s v="No"/>
    <n v="0"/>
  </r>
  <r>
    <n v="124"/>
    <d v="2026-01-20T00:00:00"/>
    <x v="1"/>
    <x v="2"/>
    <s v="Yes"/>
    <n v="430500"/>
  </r>
  <r>
    <n v="125"/>
    <d v="2026-01-30T00:00:00"/>
    <x v="3"/>
    <x v="0"/>
    <s v="No"/>
    <n v="0"/>
  </r>
  <r>
    <n v="126"/>
    <d v="2026-03-11T00:00:00"/>
    <x v="1"/>
    <x v="0"/>
    <s v="No"/>
    <n v="0"/>
  </r>
  <r>
    <n v="127"/>
    <d v="2026-01-16T00:00:00"/>
    <x v="2"/>
    <x v="0"/>
    <s v="No"/>
    <n v="0"/>
  </r>
  <r>
    <n v="128"/>
    <d v="2026-02-03T00:00:00"/>
    <x v="1"/>
    <x v="0"/>
    <s v="No"/>
    <n v="0"/>
  </r>
  <r>
    <n v="129"/>
    <d v="2026-02-22T00:00:00"/>
    <x v="1"/>
    <x v="3"/>
    <s v="No"/>
    <n v="0"/>
  </r>
  <r>
    <n v="130"/>
    <d v="2026-03-01T00:00:00"/>
    <x v="4"/>
    <x v="3"/>
    <s v="No"/>
    <n v="0"/>
  </r>
  <r>
    <n v="131"/>
    <d v="2026-01-30T00:00:00"/>
    <x v="2"/>
    <x v="0"/>
    <s v="No"/>
    <n v="0"/>
  </r>
  <r>
    <n v="132"/>
    <d v="2026-03-01T00:00:00"/>
    <x v="4"/>
    <x v="1"/>
    <s v="No"/>
    <n v="0"/>
  </r>
  <r>
    <n v="133"/>
    <d v="2026-01-05T00:00:00"/>
    <x v="3"/>
    <x v="0"/>
    <s v="No"/>
    <n v="0"/>
  </r>
  <r>
    <n v="134"/>
    <d v="2026-02-20T00:00:00"/>
    <x v="0"/>
    <x v="3"/>
    <s v="No"/>
    <n v="0"/>
  </r>
  <r>
    <n v="135"/>
    <d v="2026-02-11T00:00:00"/>
    <x v="0"/>
    <x v="0"/>
    <s v="No"/>
    <n v="0"/>
  </r>
  <r>
    <n v="136"/>
    <d v="2026-01-05T00:00:00"/>
    <x v="3"/>
    <x v="1"/>
    <s v="No"/>
    <n v="0"/>
  </r>
  <r>
    <n v="137"/>
    <d v="2026-02-04T00:00:00"/>
    <x v="3"/>
    <x v="3"/>
    <s v="No"/>
    <n v="0"/>
  </r>
  <r>
    <n v="138"/>
    <d v="2026-01-11T00:00:00"/>
    <x v="3"/>
    <x v="1"/>
    <s v="No"/>
    <n v="0"/>
  </r>
  <r>
    <n v="139"/>
    <d v="2026-01-11T00:00:00"/>
    <x v="1"/>
    <x v="0"/>
    <s v="No"/>
    <n v="0"/>
  </r>
  <r>
    <n v="140"/>
    <d v="2026-01-10T00:00:00"/>
    <x v="1"/>
    <x v="0"/>
    <s v="No"/>
    <n v="0"/>
  </r>
  <r>
    <n v="141"/>
    <d v="2026-01-28T00:00:00"/>
    <x v="0"/>
    <x v="0"/>
    <s v="No"/>
    <n v="0"/>
  </r>
  <r>
    <n v="142"/>
    <d v="2026-02-22T00:00:00"/>
    <x v="4"/>
    <x v="0"/>
    <s v="No"/>
    <n v="0"/>
  </r>
  <r>
    <n v="143"/>
    <d v="2026-03-13T00:00:00"/>
    <x v="2"/>
    <x v="1"/>
    <s v="No"/>
    <n v="0"/>
  </r>
  <r>
    <n v="144"/>
    <d v="2026-03-14T00:00:00"/>
    <x v="3"/>
    <x v="0"/>
    <s v="No"/>
    <n v="0"/>
  </r>
  <r>
    <n v="145"/>
    <d v="2025-12-28T00:00:00"/>
    <x v="2"/>
    <x v="4"/>
    <s v="No"/>
    <n v="0"/>
  </r>
  <r>
    <n v="146"/>
    <d v="2026-01-09T00:00:00"/>
    <x v="4"/>
    <x v="2"/>
    <s v="Yes"/>
    <n v="381600"/>
  </r>
  <r>
    <n v="147"/>
    <d v="2026-03-18T00:00:00"/>
    <x v="4"/>
    <x v="0"/>
    <s v="No"/>
    <n v="0"/>
  </r>
  <r>
    <n v="148"/>
    <d v="2026-01-12T00:00:00"/>
    <x v="4"/>
    <x v="3"/>
    <s v="No"/>
    <n v="0"/>
  </r>
  <r>
    <n v="149"/>
    <d v="2026-02-24T00:00:00"/>
    <x v="0"/>
    <x v="3"/>
    <s v="No"/>
    <n v="0"/>
  </r>
  <r>
    <n v="150"/>
    <d v="2026-03-07T00:00:00"/>
    <x v="0"/>
    <x v="0"/>
    <s v="No"/>
    <n v="0"/>
  </r>
  <r>
    <n v="151"/>
    <d v="2025-12-25T00:00:00"/>
    <x v="1"/>
    <x v="0"/>
    <s v="No"/>
    <n v="0"/>
  </r>
  <r>
    <n v="152"/>
    <d v="2026-01-24T00:00:00"/>
    <x v="4"/>
    <x v="4"/>
    <s v="No"/>
    <n v="0"/>
  </r>
  <r>
    <n v="153"/>
    <d v="2026-01-31T00:00:00"/>
    <x v="1"/>
    <x v="4"/>
    <s v="No"/>
    <n v="0"/>
  </r>
  <r>
    <n v="154"/>
    <d v="2026-02-21T00:00:00"/>
    <x v="2"/>
    <x v="3"/>
    <s v="No"/>
    <n v="0"/>
  </r>
  <r>
    <n v="155"/>
    <d v="2026-01-29T00:00:00"/>
    <x v="4"/>
    <x v="1"/>
    <s v="No"/>
    <n v="0"/>
  </r>
  <r>
    <n v="156"/>
    <d v="2026-02-06T00:00:00"/>
    <x v="2"/>
    <x v="2"/>
    <s v="Yes"/>
    <n v="437200"/>
  </r>
  <r>
    <n v="157"/>
    <d v="2026-03-20T00:00:00"/>
    <x v="1"/>
    <x v="1"/>
    <s v="No"/>
    <n v="0"/>
  </r>
  <r>
    <n v="158"/>
    <d v="2026-01-22T00:00:00"/>
    <x v="3"/>
    <x v="0"/>
    <s v="No"/>
    <n v="0"/>
  </r>
  <r>
    <n v="159"/>
    <d v="2026-03-14T00:00:00"/>
    <x v="3"/>
    <x v="0"/>
    <s v="No"/>
    <n v="0"/>
  </r>
  <r>
    <n v="160"/>
    <d v="2026-01-21T00:00:00"/>
    <x v="0"/>
    <x v="0"/>
    <s v="No"/>
    <n v="0"/>
  </r>
  <r>
    <n v="161"/>
    <d v="2026-03-11T00:00:00"/>
    <x v="4"/>
    <x v="0"/>
    <s v="No"/>
    <n v="0"/>
  </r>
  <r>
    <n v="162"/>
    <d v="2026-02-19T00:00:00"/>
    <x v="2"/>
    <x v="2"/>
    <s v="Yes"/>
    <n v="107900"/>
  </r>
  <r>
    <n v="163"/>
    <d v="2026-01-13T00:00:00"/>
    <x v="0"/>
    <x v="0"/>
    <s v="No"/>
    <n v="0"/>
  </r>
  <r>
    <n v="164"/>
    <d v="2026-03-21T00:00:00"/>
    <x v="2"/>
    <x v="1"/>
    <s v="No"/>
    <n v="0"/>
  </r>
  <r>
    <n v="165"/>
    <d v="2026-01-02T00:00:00"/>
    <x v="2"/>
    <x v="4"/>
    <s v="No"/>
    <n v="0"/>
  </r>
  <r>
    <n v="166"/>
    <d v="2026-03-08T00:00:00"/>
    <x v="3"/>
    <x v="3"/>
    <s v="No"/>
    <n v="0"/>
  </r>
  <r>
    <n v="167"/>
    <d v="2025-12-30T00:00:00"/>
    <x v="3"/>
    <x v="1"/>
    <s v="No"/>
    <n v="0"/>
  </r>
  <r>
    <n v="168"/>
    <d v="2026-02-06T00:00:00"/>
    <x v="2"/>
    <x v="0"/>
    <s v="No"/>
    <n v="0"/>
  </r>
  <r>
    <n v="169"/>
    <d v="2026-01-17T00:00:00"/>
    <x v="3"/>
    <x v="3"/>
    <s v="No"/>
    <n v="0"/>
  </r>
  <r>
    <n v="170"/>
    <d v="2026-03-04T00:00:00"/>
    <x v="1"/>
    <x v="1"/>
    <s v="No"/>
    <n v="0"/>
  </r>
  <r>
    <n v="171"/>
    <d v="2026-03-04T00:00:00"/>
    <x v="4"/>
    <x v="0"/>
    <s v="No"/>
    <n v="0"/>
  </r>
  <r>
    <n v="172"/>
    <d v="2026-01-03T00:00:00"/>
    <x v="2"/>
    <x v="1"/>
    <s v="No"/>
    <n v="0"/>
  </r>
  <r>
    <n v="173"/>
    <d v="2026-02-10T00:00:00"/>
    <x v="1"/>
    <x v="1"/>
    <s v="No"/>
    <n v="0"/>
  </r>
  <r>
    <n v="174"/>
    <d v="2026-02-03T00:00:00"/>
    <x v="3"/>
    <x v="0"/>
    <s v="No"/>
    <n v="0"/>
  </r>
  <r>
    <n v="175"/>
    <d v="2026-03-12T00:00:00"/>
    <x v="2"/>
    <x v="1"/>
    <s v="No"/>
    <n v="0"/>
  </r>
  <r>
    <n v="176"/>
    <d v="2026-01-23T00:00:00"/>
    <x v="3"/>
    <x v="1"/>
    <s v="No"/>
    <n v="0"/>
  </r>
  <r>
    <n v="177"/>
    <d v="2026-02-01T00:00:00"/>
    <x v="3"/>
    <x v="3"/>
    <s v="No"/>
    <n v="0"/>
  </r>
  <r>
    <n v="178"/>
    <d v="2025-12-31T00:00:00"/>
    <x v="1"/>
    <x v="1"/>
    <s v="No"/>
    <n v="0"/>
  </r>
  <r>
    <n v="179"/>
    <d v="2026-02-27T00:00:00"/>
    <x v="2"/>
    <x v="0"/>
    <s v="No"/>
    <n v="0"/>
  </r>
  <r>
    <n v="180"/>
    <d v="2026-01-11T00:00:00"/>
    <x v="4"/>
    <x v="3"/>
    <s v="No"/>
    <n v="0"/>
  </r>
  <r>
    <n v="181"/>
    <d v="2026-01-01T00:00:00"/>
    <x v="2"/>
    <x v="1"/>
    <s v="No"/>
    <n v="0"/>
  </r>
  <r>
    <n v="182"/>
    <d v="2026-02-17T00:00:00"/>
    <x v="0"/>
    <x v="1"/>
    <s v="No"/>
    <n v="0"/>
  </r>
  <r>
    <n v="183"/>
    <d v="2026-02-28T00:00:00"/>
    <x v="1"/>
    <x v="0"/>
    <s v="No"/>
    <n v="0"/>
  </r>
  <r>
    <n v="184"/>
    <d v="2026-03-11T00:00:00"/>
    <x v="4"/>
    <x v="0"/>
    <s v="No"/>
    <n v="0"/>
  </r>
  <r>
    <n v="185"/>
    <d v="2025-12-27T00:00:00"/>
    <x v="2"/>
    <x v="1"/>
    <s v="No"/>
    <n v="0"/>
  </r>
  <r>
    <n v="186"/>
    <d v="2026-03-17T00:00:00"/>
    <x v="0"/>
    <x v="0"/>
    <s v="No"/>
    <n v="0"/>
  </r>
  <r>
    <n v="187"/>
    <d v="2025-12-25T00:00:00"/>
    <x v="1"/>
    <x v="1"/>
    <s v="No"/>
    <n v="0"/>
  </r>
  <r>
    <n v="188"/>
    <d v="2026-03-12T00:00:00"/>
    <x v="0"/>
    <x v="3"/>
    <s v="No"/>
    <n v="0"/>
  </r>
  <r>
    <n v="189"/>
    <d v="2026-01-30T00:00:00"/>
    <x v="2"/>
    <x v="0"/>
    <s v="No"/>
    <n v="0"/>
  </r>
  <r>
    <n v="190"/>
    <d v="2026-03-16T00:00:00"/>
    <x v="1"/>
    <x v="1"/>
    <s v="No"/>
    <n v="0"/>
  </r>
  <r>
    <n v="191"/>
    <d v="2026-03-04T00:00:00"/>
    <x v="1"/>
    <x v="2"/>
    <s v="Yes"/>
    <n v="441900"/>
  </r>
  <r>
    <n v="192"/>
    <d v="2025-12-24T00:00:00"/>
    <x v="2"/>
    <x v="1"/>
    <s v="No"/>
    <n v="0"/>
  </r>
  <r>
    <n v="193"/>
    <d v="2026-01-08T00:00:00"/>
    <x v="2"/>
    <x v="1"/>
    <s v="No"/>
    <n v="0"/>
  </r>
  <r>
    <n v="194"/>
    <d v="2026-01-17T00:00:00"/>
    <x v="1"/>
    <x v="3"/>
    <s v="No"/>
    <n v="0"/>
  </r>
  <r>
    <n v="195"/>
    <d v="2025-12-23T00:00:00"/>
    <x v="1"/>
    <x v="2"/>
    <s v="Yes"/>
    <n v="301800"/>
  </r>
  <r>
    <n v="196"/>
    <d v="2026-03-07T00:00:00"/>
    <x v="0"/>
    <x v="4"/>
    <s v="No"/>
    <n v="0"/>
  </r>
  <r>
    <n v="197"/>
    <d v="2026-01-17T00:00:00"/>
    <x v="1"/>
    <x v="0"/>
    <s v="No"/>
    <n v="0"/>
  </r>
  <r>
    <n v="198"/>
    <d v="2025-12-26T00:00:00"/>
    <x v="2"/>
    <x v="1"/>
    <s v="No"/>
    <n v="0"/>
  </r>
  <r>
    <n v="199"/>
    <d v="2025-12-22T00:00:00"/>
    <x v="1"/>
    <x v="0"/>
    <s v="No"/>
    <n v="0"/>
  </r>
  <r>
    <n v="200"/>
    <d v="2026-02-02T00:00:00"/>
    <x v="0"/>
    <x v="0"/>
    <s v="No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177E7-2608-478C-BF2D-FA319CCC2E6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6">
    <pivotField dataField="1" showAll="0"/>
    <pivotField numFmtId="14"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lead_ID" fld="0" subtotal="count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B9AB9-3BEE-4C18-BFC8-2B35736A35EE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9" firstHeaderRow="0" firstDataRow="1" firstDataCol="1"/>
  <pivotFields count="6">
    <pivotField dataField="1" showAll="0"/>
    <pivotField numFmtId="14"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d_ID" fld="0" subtotal="count" baseField="0" baseItem="0"/>
    <dataField name="Sum of Revenue" fld="5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E35C-72A1-47A0-88EF-01C843A5E388}">
  <dimension ref="A3:B9"/>
  <sheetViews>
    <sheetView topLeftCell="E1" workbookViewId="0">
      <selection activeCell="U18" sqref="U18"/>
    </sheetView>
  </sheetViews>
  <sheetFormatPr defaultRowHeight="14.4" x14ac:dyDescent="0.3"/>
  <cols>
    <col min="1" max="1" width="12.44140625" bestFit="1" customWidth="1"/>
    <col min="2" max="2" width="14.44140625" bestFit="1" customWidth="1"/>
  </cols>
  <sheetData>
    <row r="3" spans="1:2" x14ac:dyDescent="0.3">
      <c r="A3" s="3" t="s">
        <v>6</v>
      </c>
      <c r="B3" t="s">
        <v>13</v>
      </c>
    </row>
    <row r="4" spans="1:2" x14ac:dyDescent="0.3">
      <c r="A4" s="4" t="s">
        <v>11</v>
      </c>
      <c r="B4" s="5">
        <v>74</v>
      </c>
    </row>
    <row r="5" spans="1:2" x14ac:dyDescent="0.3">
      <c r="A5" s="4" t="s">
        <v>8</v>
      </c>
      <c r="B5" s="5">
        <v>64</v>
      </c>
    </row>
    <row r="6" spans="1:2" x14ac:dyDescent="0.3">
      <c r="A6" s="4" t="s">
        <v>9</v>
      </c>
      <c r="B6" s="5">
        <v>27</v>
      </c>
    </row>
    <row r="7" spans="1:2" x14ac:dyDescent="0.3">
      <c r="A7" s="4" t="s">
        <v>10</v>
      </c>
      <c r="B7" s="5">
        <v>14</v>
      </c>
    </row>
    <row r="8" spans="1:2" x14ac:dyDescent="0.3">
      <c r="A8" s="4" t="s">
        <v>7</v>
      </c>
      <c r="B8" s="5">
        <v>21</v>
      </c>
    </row>
    <row r="9" spans="1:2" x14ac:dyDescent="0.3">
      <c r="A9" s="4" t="s">
        <v>12</v>
      </c>
      <c r="B9" s="5">
        <v>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0B41-BFBD-46DB-808C-E0A1361E0AE8}">
  <dimension ref="A3:H9"/>
  <sheetViews>
    <sheetView workbookViewId="0">
      <selection activeCell="B25" sqref="B25"/>
    </sheetView>
  </sheetViews>
  <sheetFormatPr defaultRowHeight="14.4" x14ac:dyDescent="0.3"/>
  <cols>
    <col min="1" max="1" width="13.44140625" bestFit="1" customWidth="1"/>
    <col min="2" max="2" width="14.44140625" bestFit="1" customWidth="1"/>
    <col min="3" max="3" width="14.109375" bestFit="1" customWidth="1"/>
    <col min="4" max="4" width="11.109375" customWidth="1"/>
    <col min="7" max="7" width="12.6640625" customWidth="1"/>
    <col min="8" max="8" width="17" customWidth="1"/>
  </cols>
  <sheetData>
    <row r="3" spans="1:8" x14ac:dyDescent="0.3">
      <c r="A3" s="3" t="s">
        <v>6</v>
      </c>
      <c r="B3" t="s">
        <v>13</v>
      </c>
      <c r="C3" t="s">
        <v>19</v>
      </c>
      <c r="D3" t="s">
        <v>20</v>
      </c>
      <c r="G3" s="1" t="s">
        <v>21</v>
      </c>
      <c r="H3" s="1" t="s">
        <v>22</v>
      </c>
    </row>
    <row r="4" spans="1:8" x14ac:dyDescent="0.3">
      <c r="A4" s="4" t="s">
        <v>14</v>
      </c>
      <c r="B4" s="5">
        <v>32</v>
      </c>
      <c r="C4" s="5">
        <v>504900</v>
      </c>
      <c r="D4">
        <f>B4/200*100</f>
        <v>16</v>
      </c>
      <c r="G4" s="1" t="s">
        <v>14</v>
      </c>
      <c r="H4" s="1">
        <v>16</v>
      </c>
    </row>
    <row r="5" spans="1:8" x14ac:dyDescent="0.3">
      <c r="A5" s="4" t="s">
        <v>15</v>
      </c>
      <c r="B5" s="5">
        <v>44</v>
      </c>
      <c r="C5" s="5">
        <v>1485500</v>
      </c>
      <c r="D5">
        <f t="shared" ref="D5:D8" si="0">B5/200*100</f>
        <v>22</v>
      </c>
      <c r="G5" s="1" t="s">
        <v>15</v>
      </c>
      <c r="H5" s="1">
        <v>22</v>
      </c>
    </row>
    <row r="6" spans="1:8" x14ac:dyDescent="0.3">
      <c r="A6" s="4" t="s">
        <v>16</v>
      </c>
      <c r="B6" s="5">
        <v>46</v>
      </c>
      <c r="C6" s="5">
        <v>3156300</v>
      </c>
      <c r="D6">
        <f t="shared" si="0"/>
        <v>23</v>
      </c>
      <c r="G6" s="1" t="s">
        <v>23</v>
      </c>
      <c r="H6" s="1">
        <v>23</v>
      </c>
    </row>
    <row r="7" spans="1:8" x14ac:dyDescent="0.3">
      <c r="A7" s="4" t="s">
        <v>17</v>
      </c>
      <c r="B7" s="5">
        <v>37</v>
      </c>
      <c r="C7" s="5">
        <v>762500</v>
      </c>
      <c r="D7">
        <f t="shared" si="0"/>
        <v>18.5</v>
      </c>
      <c r="G7" s="1" t="s">
        <v>17</v>
      </c>
      <c r="H7" s="1">
        <v>18.5</v>
      </c>
    </row>
    <row r="8" spans="1:8" x14ac:dyDescent="0.3">
      <c r="A8" s="4" t="s">
        <v>18</v>
      </c>
      <c r="B8" s="5">
        <v>41</v>
      </c>
      <c r="C8" s="5">
        <v>593200</v>
      </c>
      <c r="D8">
        <f t="shared" si="0"/>
        <v>20.5</v>
      </c>
      <c r="G8" s="1" t="s">
        <v>18</v>
      </c>
      <c r="H8" s="1">
        <v>20.5</v>
      </c>
    </row>
    <row r="9" spans="1:8" x14ac:dyDescent="0.3">
      <c r="A9" s="4" t="s">
        <v>12</v>
      </c>
      <c r="B9" s="5">
        <v>200</v>
      </c>
      <c r="C9" s="5">
        <v>6502400</v>
      </c>
      <c r="D9">
        <f>B9/200*100</f>
        <v>100</v>
      </c>
      <c r="G9" s="1"/>
      <c r="H9" s="1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74FE-79CE-45FC-8157-AEA4ADC651C7}">
  <dimension ref="A1:A51"/>
  <sheetViews>
    <sheetView tabSelected="1" topLeftCell="A38" workbookViewId="0">
      <selection activeCell="A52" sqref="A52"/>
    </sheetView>
  </sheetViews>
  <sheetFormatPr defaultRowHeight="14.4" x14ac:dyDescent="0.3"/>
  <cols>
    <col min="1" max="1" width="87.21875" customWidth="1"/>
  </cols>
  <sheetData>
    <row r="1" spans="1:1" ht="18" x14ac:dyDescent="0.35">
      <c r="A1" s="7" t="s">
        <v>24</v>
      </c>
    </row>
    <row r="2" spans="1:1" x14ac:dyDescent="0.3">
      <c r="A2" t="s">
        <v>25</v>
      </c>
    </row>
    <row r="3" spans="1:1" x14ac:dyDescent="0.3">
      <c r="A3" s="8" t="s">
        <v>26</v>
      </c>
    </row>
    <row r="5" spans="1:1" x14ac:dyDescent="0.3">
      <c r="A5" t="s">
        <v>25</v>
      </c>
    </row>
    <row r="6" spans="1:1" x14ac:dyDescent="0.3">
      <c r="A6" s="6" t="s">
        <v>27</v>
      </c>
    </row>
    <row r="7" spans="1:1" x14ac:dyDescent="0.3">
      <c r="A7" t="s">
        <v>25</v>
      </c>
    </row>
    <row r="8" spans="1:1" x14ac:dyDescent="0.3">
      <c r="A8" s="8" t="s">
        <v>28</v>
      </c>
    </row>
    <row r="9" spans="1:1" x14ac:dyDescent="0.3">
      <c r="A9" s="8" t="s">
        <v>29</v>
      </c>
    </row>
    <row r="10" spans="1:1" x14ac:dyDescent="0.3">
      <c r="A10" s="8" t="s">
        <v>30</v>
      </c>
    </row>
    <row r="11" spans="1:1" x14ac:dyDescent="0.3">
      <c r="A11" s="8"/>
    </row>
    <row r="12" spans="1:1" x14ac:dyDescent="0.3">
      <c r="A12" s="8"/>
    </row>
    <row r="13" spans="1:1" x14ac:dyDescent="0.3">
      <c r="A13" s="8" t="s">
        <v>31</v>
      </c>
    </row>
    <row r="14" spans="1:1" x14ac:dyDescent="0.3">
      <c r="A14" s="8"/>
    </row>
    <row r="15" spans="1:1" x14ac:dyDescent="0.3">
      <c r="A15" s="8"/>
    </row>
    <row r="16" spans="1:1" x14ac:dyDescent="0.3">
      <c r="A16" s="8" t="s">
        <v>32</v>
      </c>
    </row>
    <row r="18" spans="1:1" x14ac:dyDescent="0.3">
      <c r="A18" t="s">
        <v>25</v>
      </c>
    </row>
    <row r="19" spans="1:1" x14ac:dyDescent="0.3">
      <c r="A19" s="6" t="s">
        <v>33</v>
      </c>
    </row>
    <row r="20" spans="1:1" x14ac:dyDescent="0.3">
      <c r="A20" t="s">
        <v>25</v>
      </c>
    </row>
    <row r="21" spans="1:1" x14ac:dyDescent="0.3">
      <c r="A21" s="8" t="s">
        <v>28</v>
      </c>
    </row>
    <row r="22" spans="1:1" x14ac:dyDescent="0.3">
      <c r="A22" s="8" t="s">
        <v>34</v>
      </c>
    </row>
    <row r="23" spans="1:1" x14ac:dyDescent="0.3">
      <c r="A23" s="8" t="s">
        <v>35</v>
      </c>
    </row>
    <row r="24" spans="1:1" x14ac:dyDescent="0.3">
      <c r="A24" s="8"/>
    </row>
    <row r="25" spans="1:1" x14ac:dyDescent="0.3">
      <c r="A25" s="8"/>
    </row>
    <row r="26" spans="1:1" x14ac:dyDescent="0.3">
      <c r="A26" s="8" t="s">
        <v>31</v>
      </c>
    </row>
    <row r="27" spans="1:1" x14ac:dyDescent="0.3">
      <c r="A27" s="8"/>
    </row>
    <row r="31" spans="1:1" x14ac:dyDescent="0.3">
      <c r="A31" t="s">
        <v>25</v>
      </c>
    </row>
    <row r="32" spans="1:1" x14ac:dyDescent="0.3">
      <c r="A32" s="6" t="s">
        <v>36</v>
      </c>
    </row>
    <row r="33" spans="1:1" x14ac:dyDescent="0.3">
      <c r="A33" t="s">
        <v>25</v>
      </c>
    </row>
    <row r="34" spans="1:1" x14ac:dyDescent="0.3">
      <c r="A34" s="8" t="s">
        <v>28</v>
      </c>
    </row>
    <row r="35" spans="1:1" x14ac:dyDescent="0.3">
      <c r="A35" s="8" t="s">
        <v>37</v>
      </c>
    </row>
    <row r="36" spans="1:1" x14ac:dyDescent="0.3">
      <c r="A36" s="8" t="s">
        <v>38</v>
      </c>
    </row>
    <row r="37" spans="1:1" x14ac:dyDescent="0.3">
      <c r="A37" s="8"/>
    </row>
    <row r="38" spans="1:1" x14ac:dyDescent="0.3">
      <c r="A38" s="8" t="s">
        <v>31</v>
      </c>
    </row>
    <row r="39" spans="1:1" x14ac:dyDescent="0.3">
      <c r="A39" s="8"/>
    </row>
    <row r="40" spans="1:1" x14ac:dyDescent="0.3">
      <c r="A40" s="8"/>
    </row>
    <row r="43" spans="1:1" x14ac:dyDescent="0.3">
      <c r="A43" t="s">
        <v>25</v>
      </c>
    </row>
    <row r="44" spans="1:1" x14ac:dyDescent="0.3">
      <c r="A44" s="6" t="s">
        <v>39</v>
      </c>
    </row>
    <row r="45" spans="1:1" x14ac:dyDescent="0.3">
      <c r="A45" t="s">
        <v>25</v>
      </c>
    </row>
    <row r="46" spans="1:1" x14ac:dyDescent="0.3">
      <c r="A46" s="8" t="s">
        <v>40</v>
      </c>
    </row>
    <row r="47" spans="1:1" x14ac:dyDescent="0.3">
      <c r="A47" s="8" t="s">
        <v>41</v>
      </c>
    </row>
    <row r="48" spans="1:1" x14ac:dyDescent="0.3">
      <c r="A48" s="8" t="s">
        <v>42</v>
      </c>
    </row>
    <row r="49" spans="1:1" x14ac:dyDescent="0.3">
      <c r="A49" s="8" t="s">
        <v>43</v>
      </c>
    </row>
    <row r="50" spans="1:1" x14ac:dyDescent="0.3">
      <c r="A50" s="8" t="s">
        <v>44</v>
      </c>
    </row>
    <row r="51" spans="1:1" x14ac:dyDescent="0.3">
      <c r="A5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7B12-0C6A-4D10-9524-0F4A75B3DFA9}">
  <dimension ref="A1:F201"/>
  <sheetViews>
    <sheetView workbookViewId="0">
      <selection activeCell="D5" sqref="D5"/>
    </sheetView>
  </sheetViews>
  <sheetFormatPr defaultRowHeight="14.4" x14ac:dyDescent="0.3"/>
  <cols>
    <col min="2" max="2" width="10.33203125" bestFit="1" customWidth="1"/>
    <col min="3" max="3" width="18" customWidth="1"/>
    <col min="4" max="4" width="12.88671875" customWidth="1"/>
    <col min="5" max="5" width="12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2">
        <f ca="1">TODAY()-RANDBETWEEN(1,90)</f>
        <v>46042</v>
      </c>
      <c r="C2" s="1" t="str">
        <f ca="1">CHOOSE(RANDBETWEEN(1,5),"Organic Search","Paid Search","Paid Social","Email","Referral")</f>
        <v>Paid Search</v>
      </c>
      <c r="D2" s="1" t="str">
        <f ca="1">CHOOSE(RANDBETWEEN(1,10),"Visitor","Visitor","Visitor","Visitor","Lead","Lead","Lead","MQL","SQL","Customer")</f>
        <v>Visitor</v>
      </c>
      <c r="E2" s="1" t="str">
        <f ca="1">IF(D2="Customer","Yes","No")</f>
        <v>No</v>
      </c>
      <c r="F2" s="1">
        <f ca="1">IF(E2="Yes",RANDBETWEEN(500,5000)*100,0)</f>
        <v>0</v>
      </c>
    </row>
    <row r="3" spans="1:6" x14ac:dyDescent="0.3">
      <c r="A3" s="1">
        <v>2</v>
      </c>
      <c r="B3" s="2">
        <f t="shared" ref="B3:B66" ca="1" si="0">TODAY()-RANDBETWEEN(1,90)</f>
        <v>46023</v>
      </c>
      <c r="C3" s="1" t="str">
        <f t="shared" ref="C3:C66" ca="1" si="1">CHOOSE(RANDBETWEEN(1,5),"Organic Search","Paid Search","Paid Social","Email","Referral")</f>
        <v>Referral</v>
      </c>
      <c r="D3" s="1" t="str">
        <f t="shared" ref="D3:D66" ca="1" si="2">CHOOSE(RANDBETWEEN(1,10),"Visitor","Visitor","Visitor","Visitor","Lead","Lead","Lead","MQL","SQL","Customer")</f>
        <v>Customer</v>
      </c>
      <c r="E3" s="1" t="str">
        <f t="shared" ref="E3:E66" ca="1" si="3">IF(D3="Customer","Yes","No")</f>
        <v>Yes</v>
      </c>
      <c r="F3" s="1">
        <f t="shared" ref="F3:F66" ca="1" si="4">IF(E3="Yes",RANDBETWEEN(500,5000)*100,0)</f>
        <v>398700</v>
      </c>
    </row>
    <row r="4" spans="1:6" x14ac:dyDescent="0.3">
      <c r="A4" s="1">
        <v>3</v>
      </c>
      <c r="B4" s="2">
        <f t="shared" ca="1" si="0"/>
        <v>46057</v>
      </c>
      <c r="C4" s="1" t="str">
        <f t="shared" ca="1" si="1"/>
        <v>Email</v>
      </c>
      <c r="D4" s="1" t="str">
        <f t="shared" ca="1" si="2"/>
        <v>Visitor</v>
      </c>
      <c r="E4" s="1" t="str">
        <f t="shared" ca="1" si="3"/>
        <v>No</v>
      </c>
      <c r="F4" s="1">
        <f t="shared" ca="1" si="4"/>
        <v>0</v>
      </c>
    </row>
    <row r="5" spans="1:6" x14ac:dyDescent="0.3">
      <c r="A5" s="1">
        <v>4</v>
      </c>
      <c r="B5" s="2">
        <f t="shared" ca="1" si="0"/>
        <v>46077</v>
      </c>
      <c r="C5" s="1" t="str">
        <f t="shared" ca="1" si="1"/>
        <v>Referral</v>
      </c>
      <c r="D5" s="1" t="str">
        <f t="shared" ca="1" si="2"/>
        <v>Visitor</v>
      </c>
      <c r="E5" s="1" t="str">
        <f t="shared" ca="1" si="3"/>
        <v>No</v>
      </c>
      <c r="F5" s="1">
        <f t="shared" ca="1" si="4"/>
        <v>0</v>
      </c>
    </row>
    <row r="6" spans="1:6" x14ac:dyDescent="0.3">
      <c r="A6" s="1">
        <v>5</v>
      </c>
      <c r="B6" s="2">
        <f t="shared" ca="1" si="0"/>
        <v>46039</v>
      </c>
      <c r="C6" s="1" t="str">
        <f t="shared" ca="1" si="1"/>
        <v>Organic Search</v>
      </c>
      <c r="D6" s="1" t="str">
        <f t="shared" ca="1" si="2"/>
        <v>Visitor</v>
      </c>
      <c r="E6" s="1" t="str">
        <f t="shared" ca="1" si="3"/>
        <v>No</v>
      </c>
      <c r="F6" s="1">
        <f t="shared" ca="1" si="4"/>
        <v>0</v>
      </c>
    </row>
    <row r="7" spans="1:6" x14ac:dyDescent="0.3">
      <c r="A7" s="1">
        <v>6</v>
      </c>
      <c r="B7" s="2">
        <f t="shared" ca="1" si="0"/>
        <v>46034</v>
      </c>
      <c r="C7" s="1" t="str">
        <f t="shared" ca="1" si="1"/>
        <v>Email</v>
      </c>
      <c r="D7" s="1" t="str">
        <f t="shared" ca="1" si="2"/>
        <v>Lead</v>
      </c>
      <c r="E7" s="1" t="str">
        <f t="shared" ca="1" si="3"/>
        <v>No</v>
      </c>
      <c r="F7" s="1">
        <f t="shared" ca="1" si="4"/>
        <v>0</v>
      </c>
    </row>
    <row r="8" spans="1:6" x14ac:dyDescent="0.3">
      <c r="A8" s="1">
        <v>7</v>
      </c>
      <c r="B8" s="2">
        <f t="shared" ca="1" si="0"/>
        <v>46033</v>
      </c>
      <c r="C8" s="1" t="str">
        <f t="shared" ca="1" si="1"/>
        <v>Email</v>
      </c>
      <c r="D8" s="1" t="str">
        <f t="shared" ca="1" si="2"/>
        <v>Visitor</v>
      </c>
      <c r="E8" s="1" t="str">
        <f t="shared" ca="1" si="3"/>
        <v>No</v>
      </c>
      <c r="F8" s="1">
        <f t="shared" ca="1" si="4"/>
        <v>0</v>
      </c>
    </row>
    <row r="9" spans="1:6" x14ac:dyDescent="0.3">
      <c r="A9" s="1">
        <v>8</v>
      </c>
      <c r="B9" s="2">
        <f t="shared" ca="1" si="0"/>
        <v>46079</v>
      </c>
      <c r="C9" s="1" t="str">
        <f t="shared" ca="1" si="1"/>
        <v>Organic Search</v>
      </c>
      <c r="D9" s="1" t="str">
        <f t="shared" ca="1" si="2"/>
        <v>Customer</v>
      </c>
      <c r="E9" s="1" t="str">
        <f t="shared" ca="1" si="3"/>
        <v>Yes</v>
      </c>
      <c r="F9" s="1">
        <f t="shared" ca="1" si="4"/>
        <v>147300</v>
      </c>
    </row>
    <row r="10" spans="1:6" x14ac:dyDescent="0.3">
      <c r="A10" s="1">
        <v>9</v>
      </c>
      <c r="B10" s="2">
        <f t="shared" ca="1" si="0"/>
        <v>46070</v>
      </c>
      <c r="C10" s="1" t="str">
        <f t="shared" ca="1" si="1"/>
        <v>Paid Social</v>
      </c>
      <c r="D10" s="1" t="str">
        <f t="shared" ca="1" si="2"/>
        <v>Visitor</v>
      </c>
      <c r="E10" s="1" t="str">
        <f t="shared" ca="1" si="3"/>
        <v>No</v>
      </c>
      <c r="F10" s="1">
        <f t="shared" ca="1" si="4"/>
        <v>0</v>
      </c>
    </row>
    <row r="11" spans="1:6" x14ac:dyDescent="0.3">
      <c r="A11" s="1">
        <v>10</v>
      </c>
      <c r="B11" s="2">
        <f t="shared" ca="1" si="0"/>
        <v>46100</v>
      </c>
      <c r="C11" s="1" t="str">
        <f t="shared" ca="1" si="1"/>
        <v>Email</v>
      </c>
      <c r="D11" s="1" t="str">
        <f t="shared" ca="1" si="2"/>
        <v>Visitor</v>
      </c>
      <c r="E11" s="1" t="str">
        <f t="shared" ca="1" si="3"/>
        <v>No</v>
      </c>
      <c r="F11" s="1">
        <f t="shared" ca="1" si="4"/>
        <v>0</v>
      </c>
    </row>
    <row r="12" spans="1:6" x14ac:dyDescent="0.3">
      <c r="A12" s="1">
        <v>11</v>
      </c>
      <c r="B12" s="2">
        <f t="shared" ca="1" si="0"/>
        <v>46023</v>
      </c>
      <c r="C12" s="1" t="str">
        <f t="shared" ca="1" si="1"/>
        <v>Paid Social</v>
      </c>
      <c r="D12" s="1" t="str">
        <f t="shared" ca="1" si="2"/>
        <v>Lead</v>
      </c>
      <c r="E12" s="1" t="str">
        <f t="shared" ca="1" si="3"/>
        <v>No</v>
      </c>
      <c r="F12" s="1">
        <f t="shared" ca="1" si="4"/>
        <v>0</v>
      </c>
    </row>
    <row r="13" spans="1:6" x14ac:dyDescent="0.3">
      <c r="A13" s="1">
        <v>12</v>
      </c>
      <c r="B13" s="2">
        <f t="shared" ca="1" si="0"/>
        <v>46047</v>
      </c>
      <c r="C13" s="1" t="str">
        <f t="shared" ca="1" si="1"/>
        <v>Organic Search</v>
      </c>
      <c r="D13" s="1" t="str">
        <f t="shared" ca="1" si="2"/>
        <v>Lead</v>
      </c>
      <c r="E13" s="1" t="str">
        <f t="shared" ca="1" si="3"/>
        <v>No</v>
      </c>
      <c r="F13" s="1">
        <f t="shared" ca="1" si="4"/>
        <v>0</v>
      </c>
    </row>
    <row r="14" spans="1:6" x14ac:dyDescent="0.3">
      <c r="A14" s="1">
        <v>13</v>
      </c>
      <c r="B14" s="2">
        <f t="shared" ca="1" si="0"/>
        <v>46102</v>
      </c>
      <c r="C14" s="1" t="str">
        <f t="shared" ca="1" si="1"/>
        <v>Paid Social</v>
      </c>
      <c r="D14" s="1" t="str">
        <f t="shared" ca="1" si="2"/>
        <v>Visitor</v>
      </c>
      <c r="E14" s="1" t="str">
        <f t="shared" ca="1" si="3"/>
        <v>No</v>
      </c>
      <c r="F14" s="1">
        <f t="shared" ca="1" si="4"/>
        <v>0</v>
      </c>
    </row>
    <row r="15" spans="1:6" x14ac:dyDescent="0.3">
      <c r="A15" s="1">
        <v>14</v>
      </c>
      <c r="B15" s="2">
        <f t="shared" ca="1" si="0"/>
        <v>46064</v>
      </c>
      <c r="C15" s="1" t="str">
        <f t="shared" ca="1" si="1"/>
        <v>Paid Search</v>
      </c>
      <c r="D15" s="1" t="str">
        <f t="shared" ca="1" si="2"/>
        <v>Visitor</v>
      </c>
      <c r="E15" s="1" t="str">
        <f t="shared" ca="1" si="3"/>
        <v>No</v>
      </c>
      <c r="F15" s="1">
        <f t="shared" ca="1" si="4"/>
        <v>0</v>
      </c>
    </row>
    <row r="16" spans="1:6" x14ac:dyDescent="0.3">
      <c r="A16" s="1">
        <v>15</v>
      </c>
      <c r="B16" s="2">
        <f t="shared" ca="1" si="0"/>
        <v>46014</v>
      </c>
      <c r="C16" s="1" t="str">
        <f t="shared" ca="1" si="1"/>
        <v>Paid Search</v>
      </c>
      <c r="D16" s="1" t="str">
        <f t="shared" ca="1" si="2"/>
        <v>MQL</v>
      </c>
      <c r="E16" s="1" t="str">
        <f t="shared" ca="1" si="3"/>
        <v>No</v>
      </c>
      <c r="F16" s="1">
        <f t="shared" ca="1" si="4"/>
        <v>0</v>
      </c>
    </row>
    <row r="17" spans="1:6" x14ac:dyDescent="0.3">
      <c r="A17" s="1">
        <v>16</v>
      </c>
      <c r="B17" s="2">
        <f t="shared" ca="1" si="0"/>
        <v>46038</v>
      </c>
      <c r="C17" s="1" t="str">
        <f t="shared" ca="1" si="1"/>
        <v>Organic Search</v>
      </c>
      <c r="D17" s="1" t="str">
        <f t="shared" ca="1" si="2"/>
        <v>Customer</v>
      </c>
      <c r="E17" s="1" t="str">
        <f t="shared" ca="1" si="3"/>
        <v>Yes</v>
      </c>
      <c r="F17" s="1">
        <f t="shared" ca="1" si="4"/>
        <v>268500</v>
      </c>
    </row>
    <row r="18" spans="1:6" x14ac:dyDescent="0.3">
      <c r="A18" s="1">
        <v>17</v>
      </c>
      <c r="B18" s="2">
        <f t="shared" ca="1" si="0"/>
        <v>46027</v>
      </c>
      <c r="C18" s="1" t="str">
        <f t="shared" ca="1" si="1"/>
        <v>Paid Search</v>
      </c>
      <c r="D18" s="1" t="str">
        <f t="shared" ca="1" si="2"/>
        <v>Visitor</v>
      </c>
      <c r="E18" s="1" t="str">
        <f t="shared" ca="1" si="3"/>
        <v>No</v>
      </c>
      <c r="F18" s="1">
        <f t="shared" ca="1" si="4"/>
        <v>0</v>
      </c>
    </row>
    <row r="19" spans="1:6" x14ac:dyDescent="0.3">
      <c r="A19" s="1">
        <v>18</v>
      </c>
      <c r="B19" s="2">
        <f t="shared" ca="1" si="0"/>
        <v>46018</v>
      </c>
      <c r="C19" s="1" t="str">
        <f t="shared" ca="1" si="1"/>
        <v>Referral</v>
      </c>
      <c r="D19" s="1" t="str">
        <f t="shared" ca="1" si="2"/>
        <v>Customer</v>
      </c>
      <c r="E19" s="1" t="str">
        <f t="shared" ca="1" si="3"/>
        <v>Yes</v>
      </c>
      <c r="F19" s="1">
        <f t="shared" ca="1" si="4"/>
        <v>356200</v>
      </c>
    </row>
    <row r="20" spans="1:6" x14ac:dyDescent="0.3">
      <c r="A20" s="1">
        <v>19</v>
      </c>
      <c r="B20" s="2">
        <f t="shared" ca="1" si="0"/>
        <v>46043</v>
      </c>
      <c r="C20" s="1" t="str">
        <f t="shared" ca="1" si="1"/>
        <v>Referral</v>
      </c>
      <c r="D20" s="1" t="str">
        <f t="shared" ca="1" si="2"/>
        <v>Visitor</v>
      </c>
      <c r="E20" s="1" t="str">
        <f t="shared" ca="1" si="3"/>
        <v>No</v>
      </c>
      <c r="F20" s="1">
        <f t="shared" ca="1" si="4"/>
        <v>0</v>
      </c>
    </row>
    <row r="21" spans="1:6" x14ac:dyDescent="0.3">
      <c r="A21" s="1">
        <v>20</v>
      </c>
      <c r="B21" s="2">
        <f t="shared" ca="1" si="0"/>
        <v>46090</v>
      </c>
      <c r="C21" s="1" t="str">
        <f t="shared" ca="1" si="1"/>
        <v>Email</v>
      </c>
      <c r="D21" s="1" t="str">
        <f t="shared" ca="1" si="2"/>
        <v>Lead</v>
      </c>
      <c r="E21" s="1" t="str">
        <f t="shared" ca="1" si="3"/>
        <v>No</v>
      </c>
      <c r="F21" s="1">
        <f t="shared" ca="1" si="4"/>
        <v>0</v>
      </c>
    </row>
    <row r="22" spans="1:6" x14ac:dyDescent="0.3">
      <c r="A22" s="1">
        <v>21</v>
      </c>
      <c r="B22" s="2">
        <f t="shared" ca="1" si="0"/>
        <v>46025</v>
      </c>
      <c r="C22" s="1" t="str">
        <f t="shared" ca="1" si="1"/>
        <v>Paid Social</v>
      </c>
      <c r="D22" s="1" t="str">
        <f t="shared" ca="1" si="2"/>
        <v>Lead</v>
      </c>
      <c r="E22" s="1" t="str">
        <f t="shared" ca="1" si="3"/>
        <v>No</v>
      </c>
      <c r="F22" s="1">
        <f t="shared" ca="1" si="4"/>
        <v>0</v>
      </c>
    </row>
    <row r="23" spans="1:6" x14ac:dyDescent="0.3">
      <c r="A23" s="1">
        <v>22</v>
      </c>
      <c r="B23" s="2">
        <f t="shared" ca="1" si="0"/>
        <v>46024</v>
      </c>
      <c r="C23" s="1" t="str">
        <f t="shared" ca="1" si="1"/>
        <v>Paid Search</v>
      </c>
      <c r="D23" s="1" t="str">
        <f t="shared" ca="1" si="2"/>
        <v>Visitor</v>
      </c>
      <c r="E23" s="1" t="str">
        <f t="shared" ca="1" si="3"/>
        <v>No</v>
      </c>
      <c r="F23" s="1">
        <f t="shared" ca="1" si="4"/>
        <v>0</v>
      </c>
    </row>
    <row r="24" spans="1:6" x14ac:dyDescent="0.3">
      <c r="A24" s="1">
        <v>23</v>
      </c>
      <c r="B24" s="2">
        <f t="shared" ca="1" si="0"/>
        <v>46026</v>
      </c>
      <c r="C24" s="1" t="str">
        <f t="shared" ca="1" si="1"/>
        <v>Organic Search</v>
      </c>
      <c r="D24" s="1" t="str">
        <f t="shared" ca="1" si="2"/>
        <v>Customer</v>
      </c>
      <c r="E24" s="1" t="str">
        <f t="shared" ca="1" si="3"/>
        <v>Yes</v>
      </c>
      <c r="F24" s="1">
        <f t="shared" ca="1" si="4"/>
        <v>171300</v>
      </c>
    </row>
    <row r="25" spans="1:6" x14ac:dyDescent="0.3">
      <c r="A25" s="1">
        <v>24</v>
      </c>
      <c r="B25" s="2">
        <f t="shared" ca="1" si="0"/>
        <v>46083</v>
      </c>
      <c r="C25" s="1" t="str">
        <f t="shared" ca="1" si="1"/>
        <v>Paid Social</v>
      </c>
      <c r="D25" s="1" t="str">
        <f t="shared" ca="1" si="2"/>
        <v>Lead</v>
      </c>
      <c r="E25" s="1" t="str">
        <f t="shared" ca="1" si="3"/>
        <v>No</v>
      </c>
      <c r="F25" s="1">
        <f t="shared" ca="1" si="4"/>
        <v>0</v>
      </c>
    </row>
    <row r="26" spans="1:6" x14ac:dyDescent="0.3">
      <c r="A26" s="1">
        <v>25</v>
      </c>
      <c r="B26" s="2">
        <f t="shared" ca="1" si="0"/>
        <v>46094</v>
      </c>
      <c r="C26" s="1" t="str">
        <f t="shared" ca="1" si="1"/>
        <v>Organic Search</v>
      </c>
      <c r="D26" s="1" t="str">
        <f t="shared" ca="1" si="2"/>
        <v>Customer</v>
      </c>
      <c r="E26" s="1" t="str">
        <f t="shared" ca="1" si="3"/>
        <v>Yes</v>
      </c>
      <c r="F26" s="1">
        <f t="shared" ca="1" si="4"/>
        <v>479300</v>
      </c>
    </row>
    <row r="27" spans="1:6" x14ac:dyDescent="0.3">
      <c r="A27" s="1">
        <v>26</v>
      </c>
      <c r="B27" s="2">
        <f t="shared" ca="1" si="0"/>
        <v>46085</v>
      </c>
      <c r="C27" s="1" t="str">
        <f t="shared" ca="1" si="1"/>
        <v>Referral</v>
      </c>
      <c r="D27" s="1" t="str">
        <f t="shared" ca="1" si="2"/>
        <v>Visitor</v>
      </c>
      <c r="E27" s="1" t="str">
        <f t="shared" ca="1" si="3"/>
        <v>No</v>
      </c>
      <c r="F27" s="1">
        <f t="shared" ca="1" si="4"/>
        <v>0</v>
      </c>
    </row>
    <row r="28" spans="1:6" x14ac:dyDescent="0.3">
      <c r="A28" s="1">
        <v>27</v>
      </c>
      <c r="B28" s="2">
        <f t="shared" ca="1" si="0"/>
        <v>46039</v>
      </c>
      <c r="C28" s="1" t="str">
        <f t="shared" ca="1" si="1"/>
        <v>Organic Search</v>
      </c>
      <c r="D28" s="1" t="str">
        <f t="shared" ca="1" si="2"/>
        <v>MQL</v>
      </c>
      <c r="E28" s="1" t="str">
        <f t="shared" ca="1" si="3"/>
        <v>No</v>
      </c>
      <c r="F28" s="1">
        <f t="shared" ca="1" si="4"/>
        <v>0</v>
      </c>
    </row>
    <row r="29" spans="1:6" x14ac:dyDescent="0.3">
      <c r="A29" s="1">
        <v>28</v>
      </c>
      <c r="B29" s="2">
        <f t="shared" ca="1" si="0"/>
        <v>46075</v>
      </c>
      <c r="C29" s="1" t="str">
        <f t="shared" ca="1" si="1"/>
        <v>Referral</v>
      </c>
      <c r="D29" s="1" t="str">
        <f t="shared" ca="1" si="2"/>
        <v>Visitor</v>
      </c>
      <c r="E29" s="1" t="str">
        <f t="shared" ca="1" si="3"/>
        <v>No</v>
      </c>
      <c r="F29" s="1">
        <f t="shared" ca="1" si="4"/>
        <v>0</v>
      </c>
    </row>
    <row r="30" spans="1:6" x14ac:dyDescent="0.3">
      <c r="A30" s="1">
        <v>29</v>
      </c>
      <c r="B30" s="2">
        <f t="shared" ca="1" si="0"/>
        <v>46076</v>
      </c>
      <c r="C30" s="1" t="str">
        <f t="shared" ca="1" si="1"/>
        <v>Paid Social</v>
      </c>
      <c r="D30" s="1" t="str">
        <f t="shared" ca="1" si="2"/>
        <v>Visitor</v>
      </c>
      <c r="E30" s="1" t="str">
        <f t="shared" ca="1" si="3"/>
        <v>No</v>
      </c>
      <c r="F30" s="1">
        <f t="shared" ca="1" si="4"/>
        <v>0</v>
      </c>
    </row>
    <row r="31" spans="1:6" x14ac:dyDescent="0.3">
      <c r="A31" s="1">
        <v>30</v>
      </c>
      <c r="B31" s="2">
        <f t="shared" ca="1" si="0"/>
        <v>46083</v>
      </c>
      <c r="C31" s="1" t="str">
        <f t="shared" ca="1" si="1"/>
        <v>Referral</v>
      </c>
      <c r="D31" s="1" t="str">
        <f t="shared" ca="1" si="2"/>
        <v>Visitor</v>
      </c>
      <c r="E31" s="1" t="str">
        <f t="shared" ca="1" si="3"/>
        <v>No</v>
      </c>
      <c r="F31" s="1">
        <f t="shared" ca="1" si="4"/>
        <v>0</v>
      </c>
    </row>
    <row r="32" spans="1:6" x14ac:dyDescent="0.3">
      <c r="A32" s="1">
        <v>31</v>
      </c>
      <c r="B32" s="2">
        <f t="shared" ca="1" si="0"/>
        <v>46073</v>
      </c>
      <c r="C32" s="1" t="str">
        <f t="shared" ca="1" si="1"/>
        <v>Paid Search</v>
      </c>
      <c r="D32" s="1" t="str">
        <f t="shared" ca="1" si="2"/>
        <v>Visitor</v>
      </c>
      <c r="E32" s="1" t="str">
        <f t="shared" ca="1" si="3"/>
        <v>No</v>
      </c>
      <c r="F32" s="1">
        <f t="shared" ca="1" si="4"/>
        <v>0</v>
      </c>
    </row>
    <row r="33" spans="1:6" x14ac:dyDescent="0.3">
      <c r="A33" s="1">
        <v>32</v>
      </c>
      <c r="B33" s="2">
        <f t="shared" ca="1" si="0"/>
        <v>46102</v>
      </c>
      <c r="C33" s="1" t="str">
        <f t="shared" ca="1" si="1"/>
        <v>Organic Search</v>
      </c>
      <c r="D33" s="1" t="str">
        <f t="shared" ca="1" si="2"/>
        <v>Visitor</v>
      </c>
      <c r="E33" s="1" t="str">
        <f t="shared" ca="1" si="3"/>
        <v>No</v>
      </c>
      <c r="F33" s="1">
        <f t="shared" ca="1" si="4"/>
        <v>0</v>
      </c>
    </row>
    <row r="34" spans="1:6" x14ac:dyDescent="0.3">
      <c r="A34" s="1">
        <v>33</v>
      </c>
      <c r="B34" s="2">
        <f t="shared" ca="1" si="0"/>
        <v>46023</v>
      </c>
      <c r="C34" s="1" t="str">
        <f t="shared" ca="1" si="1"/>
        <v>Email</v>
      </c>
      <c r="D34" s="1" t="str">
        <f t="shared" ca="1" si="2"/>
        <v>Lead</v>
      </c>
      <c r="E34" s="1" t="str">
        <f t="shared" ca="1" si="3"/>
        <v>No</v>
      </c>
      <c r="F34" s="1">
        <f t="shared" ca="1" si="4"/>
        <v>0</v>
      </c>
    </row>
    <row r="35" spans="1:6" x14ac:dyDescent="0.3">
      <c r="A35" s="1">
        <v>34</v>
      </c>
      <c r="B35" s="2">
        <f t="shared" ca="1" si="0"/>
        <v>46079</v>
      </c>
      <c r="C35" s="1" t="str">
        <f t="shared" ca="1" si="1"/>
        <v>Referral</v>
      </c>
      <c r="D35" s="1" t="str">
        <f t="shared" ca="1" si="2"/>
        <v>Lead</v>
      </c>
      <c r="E35" s="1" t="str">
        <f t="shared" ca="1" si="3"/>
        <v>No</v>
      </c>
      <c r="F35" s="1">
        <f t="shared" ca="1" si="4"/>
        <v>0</v>
      </c>
    </row>
    <row r="36" spans="1:6" x14ac:dyDescent="0.3">
      <c r="A36" s="1">
        <v>35</v>
      </c>
      <c r="B36" s="2">
        <f t="shared" ca="1" si="0"/>
        <v>46078</v>
      </c>
      <c r="C36" s="1" t="str">
        <f t="shared" ca="1" si="1"/>
        <v>Paid Search</v>
      </c>
      <c r="D36" s="1" t="str">
        <f t="shared" ca="1" si="2"/>
        <v>Visitor</v>
      </c>
      <c r="E36" s="1" t="str">
        <f t="shared" ca="1" si="3"/>
        <v>No</v>
      </c>
      <c r="F36" s="1">
        <f t="shared" ca="1" si="4"/>
        <v>0</v>
      </c>
    </row>
    <row r="37" spans="1:6" x14ac:dyDescent="0.3">
      <c r="A37" s="1">
        <v>36</v>
      </c>
      <c r="B37" s="2">
        <f t="shared" ca="1" si="0"/>
        <v>46027</v>
      </c>
      <c r="C37" s="1" t="str">
        <f t="shared" ca="1" si="1"/>
        <v>Organic Search</v>
      </c>
      <c r="D37" s="1" t="str">
        <f t="shared" ca="1" si="2"/>
        <v>Customer</v>
      </c>
      <c r="E37" s="1" t="str">
        <f t="shared" ca="1" si="3"/>
        <v>Yes</v>
      </c>
      <c r="F37" s="1">
        <f t="shared" ca="1" si="4"/>
        <v>79800</v>
      </c>
    </row>
    <row r="38" spans="1:6" x14ac:dyDescent="0.3">
      <c r="A38" s="1">
        <v>37</v>
      </c>
      <c r="B38" s="2">
        <f t="shared" ca="1" si="0"/>
        <v>46019</v>
      </c>
      <c r="C38" s="1" t="str">
        <f t="shared" ca="1" si="1"/>
        <v>Paid Social</v>
      </c>
      <c r="D38" s="1" t="str">
        <f t="shared" ca="1" si="2"/>
        <v>Visitor</v>
      </c>
      <c r="E38" s="1" t="str">
        <f t="shared" ca="1" si="3"/>
        <v>No</v>
      </c>
      <c r="F38" s="1">
        <f t="shared" ca="1" si="4"/>
        <v>0</v>
      </c>
    </row>
    <row r="39" spans="1:6" x14ac:dyDescent="0.3">
      <c r="A39" s="1">
        <v>38</v>
      </c>
      <c r="B39" s="2">
        <f t="shared" ca="1" si="0"/>
        <v>46068</v>
      </c>
      <c r="C39" s="1" t="str">
        <f t="shared" ca="1" si="1"/>
        <v>Email</v>
      </c>
      <c r="D39" s="1" t="str">
        <f t="shared" ca="1" si="2"/>
        <v>Visitor</v>
      </c>
      <c r="E39" s="1" t="str">
        <f t="shared" ca="1" si="3"/>
        <v>No</v>
      </c>
      <c r="F39" s="1">
        <f t="shared" ca="1" si="4"/>
        <v>0</v>
      </c>
    </row>
    <row r="40" spans="1:6" x14ac:dyDescent="0.3">
      <c r="A40" s="1">
        <v>39</v>
      </c>
      <c r="B40" s="2">
        <f t="shared" ca="1" si="0"/>
        <v>46030</v>
      </c>
      <c r="C40" s="1" t="str">
        <f t="shared" ca="1" si="1"/>
        <v>Organic Search</v>
      </c>
      <c r="D40" s="1" t="str">
        <f t="shared" ca="1" si="2"/>
        <v>MQL</v>
      </c>
      <c r="E40" s="1" t="str">
        <f t="shared" ca="1" si="3"/>
        <v>No</v>
      </c>
      <c r="F40" s="1">
        <f t="shared" ca="1" si="4"/>
        <v>0</v>
      </c>
    </row>
    <row r="41" spans="1:6" x14ac:dyDescent="0.3">
      <c r="A41" s="1">
        <v>40</v>
      </c>
      <c r="B41" s="2">
        <f t="shared" ca="1" si="0"/>
        <v>46019</v>
      </c>
      <c r="C41" s="1" t="str">
        <f t="shared" ca="1" si="1"/>
        <v>Email</v>
      </c>
      <c r="D41" s="1" t="str">
        <f t="shared" ca="1" si="2"/>
        <v>SQL</v>
      </c>
      <c r="E41" s="1" t="str">
        <f t="shared" ca="1" si="3"/>
        <v>No</v>
      </c>
      <c r="F41" s="1">
        <f t="shared" ca="1" si="4"/>
        <v>0</v>
      </c>
    </row>
    <row r="42" spans="1:6" x14ac:dyDescent="0.3">
      <c r="A42" s="1">
        <v>41</v>
      </c>
      <c r="B42" s="2">
        <f t="shared" ca="1" si="0"/>
        <v>46063</v>
      </c>
      <c r="C42" s="1" t="str">
        <f t="shared" ca="1" si="1"/>
        <v>Paid Social</v>
      </c>
      <c r="D42" s="1" t="str">
        <f t="shared" ca="1" si="2"/>
        <v>Visitor</v>
      </c>
      <c r="E42" s="1" t="str">
        <f t="shared" ca="1" si="3"/>
        <v>No</v>
      </c>
      <c r="F42" s="1">
        <f t="shared" ca="1" si="4"/>
        <v>0</v>
      </c>
    </row>
    <row r="43" spans="1:6" x14ac:dyDescent="0.3">
      <c r="A43" s="1">
        <v>42</v>
      </c>
      <c r="B43" s="2">
        <f t="shared" ca="1" si="0"/>
        <v>46034</v>
      </c>
      <c r="C43" s="1" t="str">
        <f t="shared" ca="1" si="1"/>
        <v>Email</v>
      </c>
      <c r="D43" s="1" t="str">
        <f t="shared" ca="1" si="2"/>
        <v>Visitor</v>
      </c>
      <c r="E43" s="1" t="str">
        <f t="shared" ca="1" si="3"/>
        <v>No</v>
      </c>
      <c r="F43" s="1">
        <f t="shared" ca="1" si="4"/>
        <v>0</v>
      </c>
    </row>
    <row r="44" spans="1:6" x14ac:dyDescent="0.3">
      <c r="A44" s="1">
        <v>43</v>
      </c>
      <c r="B44" s="2">
        <f t="shared" ca="1" si="0"/>
        <v>46076</v>
      </c>
      <c r="C44" s="1" t="str">
        <f t="shared" ca="1" si="1"/>
        <v>Organic Search</v>
      </c>
      <c r="D44" s="1" t="str">
        <f t="shared" ca="1" si="2"/>
        <v>Customer</v>
      </c>
      <c r="E44" s="1" t="str">
        <f t="shared" ca="1" si="3"/>
        <v>Yes</v>
      </c>
      <c r="F44" s="1">
        <f t="shared" ca="1" si="4"/>
        <v>224600</v>
      </c>
    </row>
    <row r="45" spans="1:6" x14ac:dyDescent="0.3">
      <c r="A45" s="1">
        <v>44</v>
      </c>
      <c r="B45" s="2">
        <f t="shared" ca="1" si="0"/>
        <v>46037</v>
      </c>
      <c r="C45" s="1" t="str">
        <f t="shared" ca="1" si="1"/>
        <v>Referral</v>
      </c>
      <c r="D45" s="1" t="str">
        <f t="shared" ca="1" si="2"/>
        <v>Lead</v>
      </c>
      <c r="E45" s="1" t="str">
        <f t="shared" ca="1" si="3"/>
        <v>No</v>
      </c>
      <c r="F45" s="1">
        <f t="shared" ca="1" si="4"/>
        <v>0</v>
      </c>
    </row>
    <row r="46" spans="1:6" x14ac:dyDescent="0.3">
      <c r="A46" s="1">
        <v>45</v>
      </c>
      <c r="B46" s="2">
        <f t="shared" ca="1" si="0"/>
        <v>46054</v>
      </c>
      <c r="C46" s="1" t="str">
        <f t="shared" ca="1" si="1"/>
        <v>Paid Social</v>
      </c>
      <c r="D46" s="1" t="str">
        <f t="shared" ca="1" si="2"/>
        <v>Customer</v>
      </c>
      <c r="E46" s="1" t="str">
        <f t="shared" ca="1" si="3"/>
        <v>Yes</v>
      </c>
      <c r="F46" s="1">
        <f t="shared" ca="1" si="4"/>
        <v>149200</v>
      </c>
    </row>
    <row r="47" spans="1:6" x14ac:dyDescent="0.3">
      <c r="A47" s="1">
        <v>46</v>
      </c>
      <c r="B47" s="2">
        <f t="shared" ca="1" si="0"/>
        <v>46071</v>
      </c>
      <c r="C47" s="1" t="str">
        <f t="shared" ca="1" si="1"/>
        <v>Paid Social</v>
      </c>
      <c r="D47" s="1" t="str">
        <f t="shared" ca="1" si="2"/>
        <v>Visitor</v>
      </c>
      <c r="E47" s="1" t="str">
        <f t="shared" ca="1" si="3"/>
        <v>No</v>
      </c>
      <c r="F47" s="1">
        <f t="shared" ca="1" si="4"/>
        <v>0</v>
      </c>
    </row>
    <row r="48" spans="1:6" x14ac:dyDescent="0.3">
      <c r="A48" s="1">
        <v>47</v>
      </c>
      <c r="B48" s="2">
        <f t="shared" ca="1" si="0"/>
        <v>46021</v>
      </c>
      <c r="C48" s="1" t="str">
        <f t="shared" ca="1" si="1"/>
        <v>Paid Search</v>
      </c>
      <c r="D48" s="1" t="str">
        <f t="shared" ca="1" si="2"/>
        <v>Lead</v>
      </c>
      <c r="E48" s="1" t="str">
        <f t="shared" ca="1" si="3"/>
        <v>No</v>
      </c>
      <c r="F48" s="1">
        <f t="shared" ca="1" si="4"/>
        <v>0</v>
      </c>
    </row>
    <row r="49" spans="1:6" x14ac:dyDescent="0.3">
      <c r="A49" s="1">
        <v>48</v>
      </c>
      <c r="B49" s="2">
        <f t="shared" ca="1" si="0"/>
        <v>46088</v>
      </c>
      <c r="C49" s="1" t="str">
        <f t="shared" ca="1" si="1"/>
        <v>Paid Search</v>
      </c>
      <c r="D49" s="1" t="str">
        <f t="shared" ca="1" si="2"/>
        <v>Lead</v>
      </c>
      <c r="E49" s="1" t="str">
        <f t="shared" ca="1" si="3"/>
        <v>No</v>
      </c>
      <c r="F49" s="1">
        <f t="shared" ca="1" si="4"/>
        <v>0</v>
      </c>
    </row>
    <row r="50" spans="1:6" x14ac:dyDescent="0.3">
      <c r="A50" s="1">
        <v>49</v>
      </c>
      <c r="B50" s="2">
        <f t="shared" ca="1" si="0"/>
        <v>46084</v>
      </c>
      <c r="C50" s="1" t="str">
        <f t="shared" ca="1" si="1"/>
        <v>Email</v>
      </c>
      <c r="D50" s="1" t="str">
        <f t="shared" ca="1" si="2"/>
        <v>MQL</v>
      </c>
      <c r="E50" s="1" t="str">
        <f t="shared" ca="1" si="3"/>
        <v>No</v>
      </c>
      <c r="F50" s="1">
        <f t="shared" ca="1" si="4"/>
        <v>0</v>
      </c>
    </row>
    <row r="51" spans="1:6" x14ac:dyDescent="0.3">
      <c r="A51" s="1">
        <v>50</v>
      </c>
      <c r="B51" s="2">
        <f t="shared" ca="1" si="0"/>
        <v>46033</v>
      </c>
      <c r="C51" s="1" t="str">
        <f t="shared" ca="1" si="1"/>
        <v>Email</v>
      </c>
      <c r="D51" s="1" t="str">
        <f t="shared" ca="1" si="2"/>
        <v>Customer</v>
      </c>
      <c r="E51" s="1" t="str">
        <f t="shared" ca="1" si="3"/>
        <v>Yes</v>
      </c>
      <c r="F51" s="1">
        <f t="shared" ca="1" si="4"/>
        <v>96600</v>
      </c>
    </row>
    <row r="52" spans="1:6" x14ac:dyDescent="0.3">
      <c r="A52" s="1">
        <v>51</v>
      </c>
      <c r="B52" s="2">
        <f t="shared" ca="1" si="0"/>
        <v>46080</v>
      </c>
      <c r="C52" s="1" t="str">
        <f t="shared" ca="1" si="1"/>
        <v>Paid Search</v>
      </c>
      <c r="D52" s="1" t="str">
        <f t="shared" ca="1" si="2"/>
        <v>Lead</v>
      </c>
      <c r="E52" s="1" t="str">
        <f t="shared" ca="1" si="3"/>
        <v>No</v>
      </c>
      <c r="F52" s="1">
        <f t="shared" ca="1" si="4"/>
        <v>0</v>
      </c>
    </row>
    <row r="53" spans="1:6" x14ac:dyDescent="0.3">
      <c r="A53" s="1">
        <v>52</v>
      </c>
      <c r="B53" s="2">
        <f t="shared" ca="1" si="0"/>
        <v>46050</v>
      </c>
      <c r="C53" s="1" t="str">
        <f t="shared" ca="1" si="1"/>
        <v>Paid Social</v>
      </c>
      <c r="D53" s="1" t="str">
        <f t="shared" ca="1" si="2"/>
        <v>MQL</v>
      </c>
      <c r="E53" s="1" t="str">
        <f t="shared" ca="1" si="3"/>
        <v>No</v>
      </c>
      <c r="F53" s="1">
        <f t="shared" ca="1" si="4"/>
        <v>0</v>
      </c>
    </row>
    <row r="54" spans="1:6" x14ac:dyDescent="0.3">
      <c r="A54" s="1">
        <v>53</v>
      </c>
      <c r="B54" s="2">
        <f t="shared" ca="1" si="0"/>
        <v>46020</v>
      </c>
      <c r="C54" s="1" t="str">
        <f t="shared" ca="1" si="1"/>
        <v>Paid Search</v>
      </c>
      <c r="D54" s="1" t="str">
        <f t="shared" ca="1" si="2"/>
        <v>SQL</v>
      </c>
      <c r="E54" s="1" t="str">
        <f t="shared" ca="1" si="3"/>
        <v>No</v>
      </c>
      <c r="F54" s="1">
        <f t="shared" ca="1" si="4"/>
        <v>0</v>
      </c>
    </row>
    <row r="55" spans="1:6" x14ac:dyDescent="0.3">
      <c r="A55" s="1">
        <v>54</v>
      </c>
      <c r="B55" s="2">
        <f t="shared" ca="1" si="0"/>
        <v>46071</v>
      </c>
      <c r="C55" s="1" t="str">
        <f t="shared" ca="1" si="1"/>
        <v>Organic Search</v>
      </c>
      <c r="D55" s="1" t="str">
        <f t="shared" ca="1" si="2"/>
        <v>Visitor</v>
      </c>
      <c r="E55" s="1" t="str">
        <f t="shared" ca="1" si="3"/>
        <v>No</v>
      </c>
      <c r="F55" s="1">
        <f t="shared" ca="1" si="4"/>
        <v>0</v>
      </c>
    </row>
    <row r="56" spans="1:6" x14ac:dyDescent="0.3">
      <c r="A56" s="1">
        <v>55</v>
      </c>
      <c r="B56" s="2">
        <f t="shared" ca="1" si="0"/>
        <v>46079</v>
      </c>
      <c r="C56" s="1" t="str">
        <f t="shared" ca="1" si="1"/>
        <v>Paid Search</v>
      </c>
      <c r="D56" s="1" t="str">
        <f t="shared" ca="1" si="2"/>
        <v>Visitor</v>
      </c>
      <c r="E56" s="1" t="str">
        <f t="shared" ca="1" si="3"/>
        <v>No</v>
      </c>
      <c r="F56" s="1">
        <f t="shared" ca="1" si="4"/>
        <v>0</v>
      </c>
    </row>
    <row r="57" spans="1:6" x14ac:dyDescent="0.3">
      <c r="A57" s="1">
        <v>56</v>
      </c>
      <c r="B57" s="2">
        <f t="shared" ca="1" si="0"/>
        <v>46054</v>
      </c>
      <c r="C57" s="1" t="str">
        <f t="shared" ca="1" si="1"/>
        <v>Paid Social</v>
      </c>
      <c r="D57" s="1" t="str">
        <f t="shared" ca="1" si="2"/>
        <v>Visitor</v>
      </c>
      <c r="E57" s="1" t="str">
        <f t="shared" ca="1" si="3"/>
        <v>No</v>
      </c>
      <c r="F57" s="1">
        <f t="shared" ca="1" si="4"/>
        <v>0</v>
      </c>
    </row>
    <row r="58" spans="1:6" x14ac:dyDescent="0.3">
      <c r="A58" s="1">
        <v>57</v>
      </c>
      <c r="B58" s="2">
        <f t="shared" ca="1" si="0"/>
        <v>46091</v>
      </c>
      <c r="C58" s="1" t="str">
        <f t="shared" ca="1" si="1"/>
        <v>Paid Social</v>
      </c>
      <c r="D58" s="1" t="str">
        <f t="shared" ca="1" si="2"/>
        <v>Lead</v>
      </c>
      <c r="E58" s="1" t="str">
        <f t="shared" ca="1" si="3"/>
        <v>No</v>
      </c>
      <c r="F58" s="1">
        <f t="shared" ca="1" si="4"/>
        <v>0</v>
      </c>
    </row>
    <row r="59" spans="1:6" x14ac:dyDescent="0.3">
      <c r="A59" s="1">
        <v>58</v>
      </c>
      <c r="B59" s="2">
        <f t="shared" ca="1" si="0"/>
        <v>46027</v>
      </c>
      <c r="C59" s="1" t="str">
        <f t="shared" ca="1" si="1"/>
        <v>Referral</v>
      </c>
      <c r="D59" s="1" t="str">
        <f t="shared" ca="1" si="2"/>
        <v>Lead</v>
      </c>
      <c r="E59" s="1" t="str">
        <f t="shared" ca="1" si="3"/>
        <v>No</v>
      </c>
      <c r="F59" s="1">
        <f t="shared" ca="1" si="4"/>
        <v>0</v>
      </c>
    </row>
    <row r="60" spans="1:6" x14ac:dyDescent="0.3">
      <c r="A60" s="1">
        <v>59</v>
      </c>
      <c r="B60" s="2">
        <f t="shared" ca="1" si="0"/>
        <v>46096</v>
      </c>
      <c r="C60" s="1" t="str">
        <f t="shared" ca="1" si="1"/>
        <v>Referral</v>
      </c>
      <c r="D60" s="1" t="str">
        <f t="shared" ca="1" si="2"/>
        <v>MQL</v>
      </c>
      <c r="E60" s="1" t="str">
        <f t="shared" ca="1" si="3"/>
        <v>No</v>
      </c>
      <c r="F60" s="1">
        <f t="shared" ca="1" si="4"/>
        <v>0</v>
      </c>
    </row>
    <row r="61" spans="1:6" x14ac:dyDescent="0.3">
      <c r="A61" s="1">
        <v>60</v>
      </c>
      <c r="B61" s="2">
        <f t="shared" ca="1" si="0"/>
        <v>46037</v>
      </c>
      <c r="C61" s="1" t="str">
        <f t="shared" ca="1" si="1"/>
        <v>Paid Social</v>
      </c>
      <c r="D61" s="1" t="str">
        <f t="shared" ca="1" si="2"/>
        <v>Visitor</v>
      </c>
      <c r="E61" s="1" t="str">
        <f t="shared" ca="1" si="3"/>
        <v>No</v>
      </c>
      <c r="F61" s="1">
        <f t="shared" ca="1" si="4"/>
        <v>0</v>
      </c>
    </row>
    <row r="62" spans="1:6" x14ac:dyDescent="0.3">
      <c r="A62" s="1">
        <v>61</v>
      </c>
      <c r="B62" s="2">
        <f t="shared" ca="1" si="0"/>
        <v>46102</v>
      </c>
      <c r="C62" s="1" t="str">
        <f t="shared" ca="1" si="1"/>
        <v>Referral</v>
      </c>
      <c r="D62" s="1" t="str">
        <f t="shared" ca="1" si="2"/>
        <v>MQL</v>
      </c>
      <c r="E62" s="1" t="str">
        <f t="shared" ca="1" si="3"/>
        <v>No</v>
      </c>
      <c r="F62" s="1">
        <f t="shared" ca="1" si="4"/>
        <v>0</v>
      </c>
    </row>
    <row r="63" spans="1:6" x14ac:dyDescent="0.3">
      <c r="A63" s="1">
        <v>62</v>
      </c>
      <c r="B63" s="2">
        <f t="shared" ca="1" si="0"/>
        <v>46068</v>
      </c>
      <c r="C63" s="1" t="str">
        <f t="shared" ca="1" si="1"/>
        <v>Email</v>
      </c>
      <c r="D63" s="1" t="str">
        <f t="shared" ca="1" si="2"/>
        <v>Lead</v>
      </c>
      <c r="E63" s="1" t="str">
        <f t="shared" ca="1" si="3"/>
        <v>No</v>
      </c>
      <c r="F63" s="1">
        <f t="shared" ca="1" si="4"/>
        <v>0</v>
      </c>
    </row>
    <row r="64" spans="1:6" x14ac:dyDescent="0.3">
      <c r="A64" s="1">
        <v>63</v>
      </c>
      <c r="B64" s="2">
        <f t="shared" ca="1" si="0"/>
        <v>46091</v>
      </c>
      <c r="C64" s="1" t="str">
        <f t="shared" ca="1" si="1"/>
        <v>Paid Search</v>
      </c>
      <c r="D64" s="1" t="str">
        <f t="shared" ca="1" si="2"/>
        <v>Lead</v>
      </c>
      <c r="E64" s="1" t="str">
        <f t="shared" ca="1" si="3"/>
        <v>No</v>
      </c>
      <c r="F64" s="1">
        <f t="shared" ca="1" si="4"/>
        <v>0</v>
      </c>
    </row>
    <row r="65" spans="1:6" x14ac:dyDescent="0.3">
      <c r="A65" s="1">
        <v>64</v>
      </c>
      <c r="B65" s="2">
        <f t="shared" ca="1" si="0"/>
        <v>46079</v>
      </c>
      <c r="C65" s="1" t="str">
        <f t="shared" ca="1" si="1"/>
        <v>Organic Search</v>
      </c>
      <c r="D65" s="1" t="str">
        <f t="shared" ca="1" si="2"/>
        <v>Visitor</v>
      </c>
      <c r="E65" s="1" t="str">
        <f t="shared" ca="1" si="3"/>
        <v>No</v>
      </c>
      <c r="F65" s="1">
        <f t="shared" ca="1" si="4"/>
        <v>0</v>
      </c>
    </row>
    <row r="66" spans="1:6" x14ac:dyDescent="0.3">
      <c r="A66" s="1">
        <v>65</v>
      </c>
      <c r="B66" s="2">
        <f t="shared" ca="1" si="0"/>
        <v>46081</v>
      </c>
      <c r="C66" s="1" t="str">
        <f t="shared" ca="1" si="1"/>
        <v>Paid Social</v>
      </c>
      <c r="D66" s="1" t="str">
        <f t="shared" ca="1" si="2"/>
        <v>Customer</v>
      </c>
      <c r="E66" s="1" t="str">
        <f t="shared" ca="1" si="3"/>
        <v>Yes</v>
      </c>
      <c r="F66" s="1">
        <f t="shared" ca="1" si="4"/>
        <v>325900</v>
      </c>
    </row>
    <row r="67" spans="1:6" x14ac:dyDescent="0.3">
      <c r="A67" s="1">
        <v>66</v>
      </c>
      <c r="B67" s="2">
        <f t="shared" ref="B67:B130" ca="1" si="5">TODAY()-RANDBETWEEN(1,90)</f>
        <v>46028</v>
      </c>
      <c r="C67" s="1" t="str">
        <f t="shared" ref="C67:C130" ca="1" si="6">CHOOSE(RANDBETWEEN(1,5),"Organic Search","Paid Search","Paid Social","Email","Referral")</f>
        <v>Organic Search</v>
      </c>
      <c r="D67" s="1" t="str">
        <f t="shared" ref="D67:D130" ca="1" si="7">CHOOSE(RANDBETWEEN(1,10),"Visitor","Visitor","Visitor","Visitor","Lead","Lead","Lead","MQL","SQL","Customer")</f>
        <v>Lead</v>
      </c>
      <c r="E67" s="1" t="str">
        <f t="shared" ref="E67:E130" ca="1" si="8">IF(D67="Customer","Yes","No")</f>
        <v>No</v>
      </c>
      <c r="F67" s="1">
        <f t="shared" ref="F67:F130" ca="1" si="9">IF(E67="Yes",RANDBETWEEN(500,5000)*100,0)</f>
        <v>0</v>
      </c>
    </row>
    <row r="68" spans="1:6" x14ac:dyDescent="0.3">
      <c r="A68" s="1">
        <v>67</v>
      </c>
      <c r="B68" s="2">
        <f t="shared" ca="1" si="5"/>
        <v>46079</v>
      </c>
      <c r="C68" s="1" t="str">
        <f t="shared" ca="1" si="6"/>
        <v>Referral</v>
      </c>
      <c r="D68" s="1" t="str">
        <f t="shared" ca="1" si="7"/>
        <v>Lead</v>
      </c>
      <c r="E68" s="1" t="str">
        <f t="shared" ca="1" si="8"/>
        <v>No</v>
      </c>
      <c r="F68" s="1">
        <f t="shared" ca="1" si="9"/>
        <v>0</v>
      </c>
    </row>
    <row r="69" spans="1:6" x14ac:dyDescent="0.3">
      <c r="A69" s="1">
        <v>68</v>
      </c>
      <c r="B69" s="2">
        <f t="shared" ca="1" si="5"/>
        <v>46071</v>
      </c>
      <c r="C69" s="1" t="str">
        <f t="shared" ca="1" si="6"/>
        <v>Email</v>
      </c>
      <c r="D69" s="1" t="str">
        <f t="shared" ca="1" si="7"/>
        <v>Visitor</v>
      </c>
      <c r="E69" s="1" t="str">
        <f t="shared" ca="1" si="8"/>
        <v>No</v>
      </c>
      <c r="F69" s="1">
        <f t="shared" ca="1" si="9"/>
        <v>0</v>
      </c>
    </row>
    <row r="70" spans="1:6" x14ac:dyDescent="0.3">
      <c r="A70" s="1">
        <v>69</v>
      </c>
      <c r="B70" s="2">
        <f t="shared" ca="1" si="5"/>
        <v>46085</v>
      </c>
      <c r="C70" s="1" t="str">
        <f t="shared" ca="1" si="6"/>
        <v>Paid Social</v>
      </c>
      <c r="D70" s="1" t="str">
        <f t="shared" ca="1" si="7"/>
        <v>Visitor</v>
      </c>
      <c r="E70" s="1" t="str">
        <f t="shared" ca="1" si="8"/>
        <v>No</v>
      </c>
      <c r="F70" s="1">
        <f t="shared" ca="1" si="9"/>
        <v>0</v>
      </c>
    </row>
    <row r="71" spans="1:6" x14ac:dyDescent="0.3">
      <c r="A71" s="1">
        <v>70</v>
      </c>
      <c r="B71" s="2">
        <f t="shared" ca="1" si="5"/>
        <v>46039</v>
      </c>
      <c r="C71" s="1" t="str">
        <f t="shared" ca="1" si="6"/>
        <v>Paid Search</v>
      </c>
      <c r="D71" s="1" t="str">
        <f t="shared" ca="1" si="7"/>
        <v>Visitor</v>
      </c>
      <c r="E71" s="1" t="str">
        <f t="shared" ca="1" si="8"/>
        <v>No</v>
      </c>
      <c r="F71" s="1">
        <f t="shared" ca="1" si="9"/>
        <v>0</v>
      </c>
    </row>
    <row r="72" spans="1:6" x14ac:dyDescent="0.3">
      <c r="A72" s="1">
        <v>71</v>
      </c>
      <c r="B72" s="2">
        <f t="shared" ca="1" si="5"/>
        <v>46090</v>
      </c>
      <c r="C72" s="1" t="str">
        <f t="shared" ca="1" si="6"/>
        <v>Paid Search</v>
      </c>
      <c r="D72" s="1" t="str">
        <f t="shared" ca="1" si="7"/>
        <v>Customer</v>
      </c>
      <c r="E72" s="1" t="str">
        <f t="shared" ca="1" si="8"/>
        <v>Yes</v>
      </c>
      <c r="F72" s="1">
        <f t="shared" ca="1" si="9"/>
        <v>492000</v>
      </c>
    </row>
    <row r="73" spans="1:6" x14ac:dyDescent="0.3">
      <c r="A73" s="1">
        <v>72</v>
      </c>
      <c r="B73" s="2">
        <f t="shared" ca="1" si="5"/>
        <v>46059</v>
      </c>
      <c r="C73" s="1" t="str">
        <f t="shared" ca="1" si="6"/>
        <v>Paid Search</v>
      </c>
      <c r="D73" s="1" t="str">
        <f t="shared" ca="1" si="7"/>
        <v>Visitor</v>
      </c>
      <c r="E73" s="1" t="str">
        <f t="shared" ca="1" si="8"/>
        <v>No</v>
      </c>
      <c r="F73" s="1">
        <f t="shared" ca="1" si="9"/>
        <v>0</v>
      </c>
    </row>
    <row r="74" spans="1:6" x14ac:dyDescent="0.3">
      <c r="A74" s="1">
        <v>73</v>
      </c>
      <c r="B74" s="2">
        <f t="shared" ca="1" si="5"/>
        <v>46086</v>
      </c>
      <c r="C74" s="1" t="str">
        <f t="shared" ca="1" si="6"/>
        <v>Email</v>
      </c>
      <c r="D74" s="1" t="str">
        <f t="shared" ca="1" si="7"/>
        <v>Visitor</v>
      </c>
      <c r="E74" s="1" t="str">
        <f t="shared" ca="1" si="8"/>
        <v>No</v>
      </c>
      <c r="F74" s="1">
        <f t="shared" ca="1" si="9"/>
        <v>0</v>
      </c>
    </row>
    <row r="75" spans="1:6" x14ac:dyDescent="0.3">
      <c r="A75" s="1">
        <v>74</v>
      </c>
      <c r="B75" s="2">
        <f t="shared" ca="1" si="5"/>
        <v>46060</v>
      </c>
      <c r="C75" s="1" t="str">
        <f t="shared" ca="1" si="6"/>
        <v>Referral</v>
      </c>
      <c r="D75" s="1" t="str">
        <f t="shared" ca="1" si="7"/>
        <v>SQL</v>
      </c>
      <c r="E75" s="1" t="str">
        <f t="shared" ca="1" si="8"/>
        <v>No</v>
      </c>
      <c r="F75" s="1">
        <f t="shared" ca="1" si="9"/>
        <v>0</v>
      </c>
    </row>
    <row r="76" spans="1:6" x14ac:dyDescent="0.3">
      <c r="A76" s="1">
        <v>75</v>
      </c>
      <c r="B76" s="2">
        <f t="shared" ca="1" si="5"/>
        <v>46091</v>
      </c>
      <c r="C76" s="1" t="str">
        <f t="shared" ca="1" si="6"/>
        <v>Email</v>
      </c>
      <c r="D76" s="1" t="str">
        <f t="shared" ca="1" si="7"/>
        <v>Visitor</v>
      </c>
      <c r="E76" s="1" t="str">
        <f t="shared" ca="1" si="8"/>
        <v>No</v>
      </c>
      <c r="F76" s="1">
        <f t="shared" ca="1" si="9"/>
        <v>0</v>
      </c>
    </row>
    <row r="77" spans="1:6" x14ac:dyDescent="0.3">
      <c r="A77" s="1">
        <v>76</v>
      </c>
      <c r="B77" s="2">
        <f t="shared" ca="1" si="5"/>
        <v>46050</v>
      </c>
      <c r="C77" s="1" t="str">
        <f t="shared" ca="1" si="6"/>
        <v>Organic Search</v>
      </c>
      <c r="D77" s="1" t="str">
        <f t="shared" ca="1" si="7"/>
        <v>Visitor</v>
      </c>
      <c r="E77" s="1" t="str">
        <f t="shared" ca="1" si="8"/>
        <v>No</v>
      </c>
      <c r="F77" s="1">
        <f t="shared" ca="1" si="9"/>
        <v>0</v>
      </c>
    </row>
    <row r="78" spans="1:6" x14ac:dyDescent="0.3">
      <c r="A78" s="1">
        <v>77</v>
      </c>
      <c r="B78" s="2">
        <f t="shared" ca="1" si="5"/>
        <v>46069</v>
      </c>
      <c r="C78" s="1" t="str">
        <f t="shared" ca="1" si="6"/>
        <v>Organic Search</v>
      </c>
      <c r="D78" s="1" t="str">
        <f t="shared" ca="1" si="7"/>
        <v>Visitor</v>
      </c>
      <c r="E78" s="1" t="str">
        <f t="shared" ca="1" si="8"/>
        <v>No</v>
      </c>
      <c r="F78" s="1">
        <f t="shared" ca="1" si="9"/>
        <v>0</v>
      </c>
    </row>
    <row r="79" spans="1:6" x14ac:dyDescent="0.3">
      <c r="A79" s="1">
        <v>78</v>
      </c>
      <c r="B79" s="2">
        <f t="shared" ca="1" si="5"/>
        <v>46075</v>
      </c>
      <c r="C79" s="1" t="str">
        <f t="shared" ca="1" si="6"/>
        <v>Paid Social</v>
      </c>
      <c r="D79" s="1" t="str">
        <f t="shared" ca="1" si="7"/>
        <v>Lead</v>
      </c>
      <c r="E79" s="1" t="str">
        <f t="shared" ca="1" si="8"/>
        <v>No</v>
      </c>
      <c r="F79" s="1">
        <f t="shared" ca="1" si="9"/>
        <v>0</v>
      </c>
    </row>
    <row r="80" spans="1:6" x14ac:dyDescent="0.3">
      <c r="A80" s="1">
        <v>79</v>
      </c>
      <c r="B80" s="2">
        <f t="shared" ca="1" si="5"/>
        <v>46099</v>
      </c>
      <c r="C80" s="1" t="str">
        <f t="shared" ca="1" si="6"/>
        <v>Referral</v>
      </c>
      <c r="D80" s="1" t="str">
        <f t="shared" ca="1" si="7"/>
        <v>SQL</v>
      </c>
      <c r="E80" s="1" t="str">
        <f t="shared" ca="1" si="8"/>
        <v>No</v>
      </c>
      <c r="F80" s="1">
        <f t="shared" ca="1" si="9"/>
        <v>0</v>
      </c>
    </row>
    <row r="81" spans="1:6" x14ac:dyDescent="0.3">
      <c r="A81" s="1">
        <v>80</v>
      </c>
      <c r="B81" s="2">
        <f t="shared" ca="1" si="5"/>
        <v>46037</v>
      </c>
      <c r="C81" s="1" t="str">
        <f t="shared" ca="1" si="6"/>
        <v>Organic Search</v>
      </c>
      <c r="D81" s="1" t="str">
        <f t="shared" ca="1" si="7"/>
        <v>SQL</v>
      </c>
      <c r="E81" s="1" t="str">
        <f t="shared" ca="1" si="8"/>
        <v>No</v>
      </c>
      <c r="F81" s="1">
        <f t="shared" ca="1" si="9"/>
        <v>0</v>
      </c>
    </row>
    <row r="82" spans="1:6" x14ac:dyDescent="0.3">
      <c r="A82" s="1">
        <v>81</v>
      </c>
      <c r="B82" s="2">
        <f t="shared" ca="1" si="5"/>
        <v>46058</v>
      </c>
      <c r="C82" s="1" t="str">
        <f t="shared" ca="1" si="6"/>
        <v>Referral</v>
      </c>
      <c r="D82" s="1" t="str">
        <f t="shared" ca="1" si="7"/>
        <v>Customer</v>
      </c>
      <c r="E82" s="1" t="str">
        <f t="shared" ca="1" si="8"/>
        <v>Yes</v>
      </c>
      <c r="F82" s="1">
        <f t="shared" ca="1" si="9"/>
        <v>103300</v>
      </c>
    </row>
    <row r="83" spans="1:6" x14ac:dyDescent="0.3">
      <c r="A83" s="1">
        <v>82</v>
      </c>
      <c r="B83" s="2">
        <f t="shared" ca="1" si="5"/>
        <v>46076</v>
      </c>
      <c r="C83" s="1" t="str">
        <f t="shared" ca="1" si="6"/>
        <v>Email</v>
      </c>
      <c r="D83" s="1" t="str">
        <f t="shared" ca="1" si="7"/>
        <v>MQL</v>
      </c>
      <c r="E83" s="1" t="str">
        <f t="shared" ca="1" si="8"/>
        <v>No</v>
      </c>
      <c r="F83" s="1">
        <f t="shared" ca="1" si="9"/>
        <v>0</v>
      </c>
    </row>
    <row r="84" spans="1:6" x14ac:dyDescent="0.3">
      <c r="A84" s="1">
        <v>83</v>
      </c>
      <c r="B84" s="2">
        <f t="shared" ca="1" si="5"/>
        <v>46078</v>
      </c>
      <c r="C84" s="1" t="str">
        <f t="shared" ca="1" si="6"/>
        <v>Email</v>
      </c>
      <c r="D84" s="1" t="str">
        <f t="shared" ca="1" si="7"/>
        <v>SQL</v>
      </c>
      <c r="E84" s="1" t="str">
        <f t="shared" ca="1" si="8"/>
        <v>No</v>
      </c>
      <c r="F84" s="1">
        <f t="shared" ca="1" si="9"/>
        <v>0</v>
      </c>
    </row>
    <row r="85" spans="1:6" x14ac:dyDescent="0.3">
      <c r="A85" s="1">
        <v>84</v>
      </c>
      <c r="B85" s="2">
        <f t="shared" ca="1" si="5"/>
        <v>46048</v>
      </c>
      <c r="C85" s="1" t="str">
        <f t="shared" ca="1" si="6"/>
        <v>Paid Search</v>
      </c>
      <c r="D85" s="1" t="str">
        <f t="shared" ca="1" si="7"/>
        <v>Lead</v>
      </c>
      <c r="E85" s="1" t="str">
        <f t="shared" ca="1" si="8"/>
        <v>No</v>
      </c>
      <c r="F85" s="1">
        <f t="shared" ca="1" si="9"/>
        <v>0</v>
      </c>
    </row>
    <row r="86" spans="1:6" x14ac:dyDescent="0.3">
      <c r="A86" s="1">
        <v>85</v>
      </c>
      <c r="B86" s="2">
        <f t="shared" ca="1" si="5"/>
        <v>46023</v>
      </c>
      <c r="C86" s="1" t="str">
        <f t="shared" ca="1" si="6"/>
        <v>Email</v>
      </c>
      <c r="D86" s="1" t="str">
        <f t="shared" ca="1" si="7"/>
        <v>MQL</v>
      </c>
      <c r="E86" s="1" t="str">
        <f t="shared" ca="1" si="8"/>
        <v>No</v>
      </c>
      <c r="F86" s="1">
        <f t="shared" ca="1" si="9"/>
        <v>0</v>
      </c>
    </row>
    <row r="87" spans="1:6" x14ac:dyDescent="0.3">
      <c r="A87" s="1">
        <v>86</v>
      </c>
      <c r="B87" s="2">
        <f t="shared" ca="1" si="5"/>
        <v>46101</v>
      </c>
      <c r="C87" s="1" t="str">
        <f t="shared" ca="1" si="6"/>
        <v>Paid Social</v>
      </c>
      <c r="D87" s="1" t="str">
        <f t="shared" ca="1" si="7"/>
        <v>SQL</v>
      </c>
      <c r="E87" s="1" t="str">
        <f t="shared" ca="1" si="8"/>
        <v>No</v>
      </c>
      <c r="F87" s="1">
        <f t="shared" ca="1" si="9"/>
        <v>0</v>
      </c>
    </row>
    <row r="88" spans="1:6" x14ac:dyDescent="0.3">
      <c r="A88" s="1">
        <v>87</v>
      </c>
      <c r="B88" s="2">
        <f t="shared" ca="1" si="5"/>
        <v>46061</v>
      </c>
      <c r="C88" s="1" t="str">
        <f t="shared" ca="1" si="6"/>
        <v>Referral</v>
      </c>
      <c r="D88" s="1" t="str">
        <f t="shared" ca="1" si="7"/>
        <v>Visitor</v>
      </c>
      <c r="E88" s="1" t="str">
        <f t="shared" ca="1" si="8"/>
        <v>No</v>
      </c>
      <c r="F88" s="1">
        <f t="shared" ca="1" si="9"/>
        <v>0</v>
      </c>
    </row>
    <row r="89" spans="1:6" x14ac:dyDescent="0.3">
      <c r="A89" s="1">
        <v>88</v>
      </c>
      <c r="B89" s="2">
        <f t="shared" ca="1" si="5"/>
        <v>46035</v>
      </c>
      <c r="C89" s="1" t="str">
        <f t="shared" ca="1" si="6"/>
        <v>Paid Search</v>
      </c>
      <c r="D89" s="1" t="str">
        <f t="shared" ca="1" si="7"/>
        <v>Lead</v>
      </c>
      <c r="E89" s="1" t="str">
        <f t="shared" ca="1" si="8"/>
        <v>No</v>
      </c>
      <c r="F89" s="1">
        <f t="shared" ca="1" si="9"/>
        <v>0</v>
      </c>
    </row>
    <row r="90" spans="1:6" x14ac:dyDescent="0.3">
      <c r="A90" s="1">
        <v>89</v>
      </c>
      <c r="B90" s="2">
        <f t="shared" ca="1" si="5"/>
        <v>46063</v>
      </c>
      <c r="C90" s="1" t="str">
        <f t="shared" ca="1" si="6"/>
        <v>Paid Search</v>
      </c>
      <c r="D90" s="1" t="str">
        <f t="shared" ca="1" si="7"/>
        <v>MQL</v>
      </c>
      <c r="E90" s="1" t="str">
        <f t="shared" ca="1" si="8"/>
        <v>No</v>
      </c>
      <c r="F90" s="1">
        <f t="shared" ca="1" si="9"/>
        <v>0</v>
      </c>
    </row>
    <row r="91" spans="1:6" x14ac:dyDescent="0.3">
      <c r="A91" s="1">
        <v>90</v>
      </c>
      <c r="B91" s="2">
        <f t="shared" ca="1" si="5"/>
        <v>46023</v>
      </c>
      <c r="C91" s="1" t="str">
        <f t="shared" ca="1" si="6"/>
        <v>Referral</v>
      </c>
      <c r="D91" s="1" t="str">
        <f t="shared" ca="1" si="7"/>
        <v>Visitor</v>
      </c>
      <c r="E91" s="1" t="str">
        <f t="shared" ca="1" si="8"/>
        <v>No</v>
      </c>
      <c r="F91" s="1">
        <f t="shared" ca="1" si="9"/>
        <v>0</v>
      </c>
    </row>
    <row r="92" spans="1:6" x14ac:dyDescent="0.3">
      <c r="A92" s="1">
        <v>91</v>
      </c>
      <c r="B92" s="2">
        <f t="shared" ca="1" si="5"/>
        <v>46026</v>
      </c>
      <c r="C92" s="1" t="str">
        <f t="shared" ca="1" si="6"/>
        <v>Organic Search</v>
      </c>
      <c r="D92" s="1" t="str">
        <f t="shared" ca="1" si="7"/>
        <v>Visitor</v>
      </c>
      <c r="E92" s="1" t="str">
        <f t="shared" ca="1" si="8"/>
        <v>No</v>
      </c>
      <c r="F92" s="1">
        <f t="shared" ca="1" si="9"/>
        <v>0</v>
      </c>
    </row>
    <row r="93" spans="1:6" x14ac:dyDescent="0.3">
      <c r="A93" s="1">
        <v>92</v>
      </c>
      <c r="B93" s="2">
        <f t="shared" ca="1" si="5"/>
        <v>46062</v>
      </c>
      <c r="C93" s="1" t="str">
        <f t="shared" ca="1" si="6"/>
        <v>Paid Social</v>
      </c>
      <c r="D93" s="1" t="str">
        <f t="shared" ca="1" si="7"/>
        <v>Lead</v>
      </c>
      <c r="E93" s="1" t="str">
        <f t="shared" ca="1" si="8"/>
        <v>No</v>
      </c>
      <c r="F93" s="1">
        <f t="shared" ca="1" si="9"/>
        <v>0</v>
      </c>
    </row>
    <row r="94" spans="1:6" x14ac:dyDescent="0.3">
      <c r="A94" s="1">
        <v>93</v>
      </c>
      <c r="B94" s="2">
        <f t="shared" ca="1" si="5"/>
        <v>46027</v>
      </c>
      <c r="C94" s="1" t="str">
        <f t="shared" ca="1" si="6"/>
        <v>Organic Search</v>
      </c>
      <c r="D94" s="1" t="str">
        <f t="shared" ca="1" si="7"/>
        <v>Visitor</v>
      </c>
      <c r="E94" s="1" t="str">
        <f t="shared" ca="1" si="8"/>
        <v>No</v>
      </c>
      <c r="F94" s="1">
        <f t="shared" ca="1" si="9"/>
        <v>0</v>
      </c>
    </row>
    <row r="95" spans="1:6" x14ac:dyDescent="0.3">
      <c r="A95" s="1">
        <v>94</v>
      </c>
      <c r="B95" s="2">
        <f t="shared" ca="1" si="5"/>
        <v>46034</v>
      </c>
      <c r="C95" s="1" t="str">
        <f t="shared" ca="1" si="6"/>
        <v>Paid Social</v>
      </c>
      <c r="D95" s="1" t="str">
        <f t="shared" ca="1" si="7"/>
        <v>Lead</v>
      </c>
      <c r="E95" s="1" t="str">
        <f t="shared" ca="1" si="8"/>
        <v>No</v>
      </c>
      <c r="F95" s="1">
        <f t="shared" ca="1" si="9"/>
        <v>0</v>
      </c>
    </row>
    <row r="96" spans="1:6" x14ac:dyDescent="0.3">
      <c r="A96" s="1">
        <v>95</v>
      </c>
      <c r="B96" s="2">
        <f t="shared" ca="1" si="5"/>
        <v>46070</v>
      </c>
      <c r="C96" s="1" t="str">
        <f t="shared" ca="1" si="6"/>
        <v>Paid Social</v>
      </c>
      <c r="D96" s="1" t="str">
        <f t="shared" ca="1" si="7"/>
        <v>Customer</v>
      </c>
      <c r="E96" s="1" t="str">
        <f t="shared" ca="1" si="8"/>
        <v>Yes</v>
      </c>
      <c r="F96" s="1">
        <f t="shared" ca="1" si="9"/>
        <v>400100</v>
      </c>
    </row>
    <row r="97" spans="1:6" x14ac:dyDescent="0.3">
      <c r="A97" s="1">
        <v>96</v>
      </c>
      <c r="B97" s="2">
        <f t="shared" ca="1" si="5"/>
        <v>46076</v>
      </c>
      <c r="C97" s="1" t="str">
        <f t="shared" ca="1" si="6"/>
        <v>Referral</v>
      </c>
      <c r="D97" s="1" t="str">
        <f t="shared" ca="1" si="7"/>
        <v>Customer</v>
      </c>
      <c r="E97" s="1" t="str">
        <f t="shared" ca="1" si="8"/>
        <v>Yes</v>
      </c>
      <c r="F97" s="1">
        <f t="shared" ca="1" si="9"/>
        <v>265200</v>
      </c>
    </row>
    <row r="98" spans="1:6" x14ac:dyDescent="0.3">
      <c r="A98" s="1">
        <v>97</v>
      </c>
      <c r="B98" s="2">
        <f t="shared" ca="1" si="5"/>
        <v>46086</v>
      </c>
      <c r="C98" s="1" t="str">
        <f t="shared" ca="1" si="6"/>
        <v>Paid Search</v>
      </c>
      <c r="D98" s="1" t="str">
        <f t="shared" ca="1" si="7"/>
        <v>Lead</v>
      </c>
      <c r="E98" s="1" t="str">
        <f t="shared" ca="1" si="8"/>
        <v>No</v>
      </c>
      <c r="F98" s="1">
        <f t="shared" ca="1" si="9"/>
        <v>0</v>
      </c>
    </row>
    <row r="99" spans="1:6" x14ac:dyDescent="0.3">
      <c r="A99" s="1">
        <v>98</v>
      </c>
      <c r="B99" s="2">
        <f t="shared" ca="1" si="5"/>
        <v>46053</v>
      </c>
      <c r="C99" s="1" t="str">
        <f t="shared" ca="1" si="6"/>
        <v>Referral</v>
      </c>
      <c r="D99" s="1" t="str">
        <f t="shared" ca="1" si="7"/>
        <v>Visitor</v>
      </c>
      <c r="E99" s="1" t="str">
        <f t="shared" ca="1" si="8"/>
        <v>No</v>
      </c>
      <c r="F99" s="1">
        <f t="shared" ca="1" si="9"/>
        <v>0</v>
      </c>
    </row>
    <row r="100" spans="1:6" x14ac:dyDescent="0.3">
      <c r="A100" s="1">
        <v>99</v>
      </c>
      <c r="B100" s="2">
        <f t="shared" ca="1" si="5"/>
        <v>46036</v>
      </c>
      <c r="C100" s="1" t="str">
        <f t="shared" ca="1" si="6"/>
        <v>Organic Search</v>
      </c>
      <c r="D100" s="1" t="str">
        <f t="shared" ca="1" si="7"/>
        <v>MQL</v>
      </c>
      <c r="E100" s="1" t="str">
        <f t="shared" ca="1" si="8"/>
        <v>No</v>
      </c>
      <c r="F100" s="1">
        <f t="shared" ca="1" si="9"/>
        <v>0</v>
      </c>
    </row>
    <row r="101" spans="1:6" x14ac:dyDescent="0.3">
      <c r="A101" s="1">
        <v>100</v>
      </c>
      <c r="B101" s="2">
        <f t="shared" ca="1" si="5"/>
        <v>46098</v>
      </c>
      <c r="C101" s="1" t="str">
        <f t="shared" ca="1" si="6"/>
        <v>Email</v>
      </c>
      <c r="D101" s="1" t="str">
        <f t="shared" ca="1" si="7"/>
        <v>Visitor</v>
      </c>
      <c r="E101" s="1" t="str">
        <f t="shared" ca="1" si="8"/>
        <v>No</v>
      </c>
      <c r="F101" s="1">
        <f t="shared" ca="1" si="9"/>
        <v>0</v>
      </c>
    </row>
    <row r="102" spans="1:6" x14ac:dyDescent="0.3">
      <c r="A102" s="1">
        <v>101</v>
      </c>
      <c r="B102" s="2">
        <f t="shared" ca="1" si="5"/>
        <v>46102</v>
      </c>
      <c r="C102" s="1" t="str">
        <f t="shared" ca="1" si="6"/>
        <v>Paid Social</v>
      </c>
      <c r="D102" s="1" t="str">
        <f t="shared" ca="1" si="7"/>
        <v>Visitor</v>
      </c>
      <c r="E102" s="1" t="str">
        <f t="shared" ca="1" si="8"/>
        <v>No</v>
      </c>
      <c r="F102" s="1">
        <f t="shared" ca="1" si="9"/>
        <v>0</v>
      </c>
    </row>
    <row r="103" spans="1:6" x14ac:dyDescent="0.3">
      <c r="A103" s="1">
        <v>102</v>
      </c>
      <c r="B103" s="2">
        <f t="shared" ca="1" si="5"/>
        <v>46016</v>
      </c>
      <c r="C103" s="1" t="str">
        <f t="shared" ca="1" si="6"/>
        <v>Paid Social</v>
      </c>
      <c r="D103" s="1" t="str">
        <f t="shared" ca="1" si="7"/>
        <v>Visitor</v>
      </c>
      <c r="E103" s="1" t="str">
        <f t="shared" ca="1" si="8"/>
        <v>No</v>
      </c>
      <c r="F103" s="1">
        <f t="shared" ca="1" si="9"/>
        <v>0</v>
      </c>
    </row>
    <row r="104" spans="1:6" x14ac:dyDescent="0.3">
      <c r="A104" s="1">
        <v>103</v>
      </c>
      <c r="B104" s="2">
        <f t="shared" ca="1" si="5"/>
        <v>46041</v>
      </c>
      <c r="C104" s="1" t="str">
        <f t="shared" ca="1" si="6"/>
        <v>Organic Search</v>
      </c>
      <c r="D104" s="1" t="str">
        <f t="shared" ca="1" si="7"/>
        <v>Visitor</v>
      </c>
      <c r="E104" s="1" t="str">
        <f t="shared" ca="1" si="8"/>
        <v>No</v>
      </c>
      <c r="F104" s="1">
        <f t="shared" ca="1" si="9"/>
        <v>0</v>
      </c>
    </row>
    <row r="105" spans="1:6" x14ac:dyDescent="0.3">
      <c r="A105" s="1">
        <v>104</v>
      </c>
      <c r="B105" s="2">
        <f t="shared" ca="1" si="5"/>
        <v>46016</v>
      </c>
      <c r="C105" s="1" t="str">
        <f t="shared" ca="1" si="6"/>
        <v>Paid Search</v>
      </c>
      <c r="D105" s="1" t="str">
        <f t="shared" ca="1" si="7"/>
        <v>Lead</v>
      </c>
      <c r="E105" s="1" t="str">
        <f t="shared" ca="1" si="8"/>
        <v>No</v>
      </c>
      <c r="F105" s="1">
        <f t="shared" ca="1" si="9"/>
        <v>0</v>
      </c>
    </row>
    <row r="106" spans="1:6" x14ac:dyDescent="0.3">
      <c r="A106" s="1">
        <v>105</v>
      </c>
      <c r="B106" s="2">
        <f t="shared" ca="1" si="5"/>
        <v>46043</v>
      </c>
      <c r="C106" s="1" t="str">
        <f t="shared" ca="1" si="6"/>
        <v>Referral</v>
      </c>
      <c r="D106" s="1" t="str">
        <f t="shared" ca="1" si="7"/>
        <v>Lead</v>
      </c>
      <c r="E106" s="1" t="str">
        <f t="shared" ca="1" si="8"/>
        <v>No</v>
      </c>
      <c r="F106" s="1">
        <f t="shared" ca="1" si="9"/>
        <v>0</v>
      </c>
    </row>
    <row r="107" spans="1:6" x14ac:dyDescent="0.3">
      <c r="A107" s="1">
        <v>106</v>
      </c>
      <c r="B107" s="2">
        <f t="shared" ca="1" si="5"/>
        <v>46035</v>
      </c>
      <c r="C107" s="1" t="str">
        <f t="shared" ca="1" si="6"/>
        <v>Organic Search</v>
      </c>
      <c r="D107" s="1" t="str">
        <f t="shared" ca="1" si="7"/>
        <v>Visitor</v>
      </c>
      <c r="E107" s="1" t="str">
        <f t="shared" ca="1" si="8"/>
        <v>No</v>
      </c>
      <c r="F107" s="1">
        <f t="shared" ca="1" si="9"/>
        <v>0</v>
      </c>
    </row>
    <row r="108" spans="1:6" x14ac:dyDescent="0.3">
      <c r="A108" s="1">
        <v>107</v>
      </c>
      <c r="B108" s="2">
        <f t="shared" ca="1" si="5"/>
        <v>46017</v>
      </c>
      <c r="C108" s="1" t="str">
        <f t="shared" ca="1" si="6"/>
        <v>Organic Search</v>
      </c>
      <c r="D108" s="1" t="str">
        <f t="shared" ca="1" si="7"/>
        <v>Visitor</v>
      </c>
      <c r="E108" s="1" t="str">
        <f t="shared" ca="1" si="8"/>
        <v>No</v>
      </c>
      <c r="F108" s="1">
        <f t="shared" ca="1" si="9"/>
        <v>0</v>
      </c>
    </row>
    <row r="109" spans="1:6" x14ac:dyDescent="0.3">
      <c r="A109" s="1">
        <v>108</v>
      </c>
      <c r="B109" s="2">
        <f t="shared" ca="1" si="5"/>
        <v>46084</v>
      </c>
      <c r="C109" s="1" t="str">
        <f t="shared" ca="1" si="6"/>
        <v>Paid Social</v>
      </c>
      <c r="D109" s="1" t="str">
        <f t="shared" ca="1" si="7"/>
        <v>Lead</v>
      </c>
      <c r="E109" s="1" t="str">
        <f t="shared" ca="1" si="8"/>
        <v>No</v>
      </c>
      <c r="F109" s="1">
        <f t="shared" ca="1" si="9"/>
        <v>0</v>
      </c>
    </row>
    <row r="110" spans="1:6" x14ac:dyDescent="0.3">
      <c r="A110" s="1">
        <v>109</v>
      </c>
      <c r="B110" s="2">
        <f t="shared" ca="1" si="5"/>
        <v>46033</v>
      </c>
      <c r="C110" s="1" t="str">
        <f t="shared" ca="1" si="6"/>
        <v>Email</v>
      </c>
      <c r="D110" s="1" t="str">
        <f t="shared" ca="1" si="7"/>
        <v>SQL</v>
      </c>
      <c r="E110" s="1" t="str">
        <f t="shared" ca="1" si="8"/>
        <v>No</v>
      </c>
      <c r="F110" s="1">
        <f t="shared" ca="1" si="9"/>
        <v>0</v>
      </c>
    </row>
    <row r="111" spans="1:6" x14ac:dyDescent="0.3">
      <c r="A111" s="1">
        <v>110</v>
      </c>
      <c r="B111" s="2">
        <f t="shared" ca="1" si="5"/>
        <v>46059</v>
      </c>
      <c r="C111" s="1" t="str">
        <f t="shared" ca="1" si="6"/>
        <v>Paid Search</v>
      </c>
      <c r="D111" s="1" t="str">
        <f t="shared" ca="1" si="7"/>
        <v>Lead</v>
      </c>
      <c r="E111" s="1" t="str">
        <f t="shared" ca="1" si="8"/>
        <v>No</v>
      </c>
      <c r="F111" s="1">
        <f t="shared" ca="1" si="9"/>
        <v>0</v>
      </c>
    </row>
    <row r="112" spans="1:6" x14ac:dyDescent="0.3">
      <c r="A112" s="1">
        <v>111</v>
      </c>
      <c r="B112" s="2">
        <f t="shared" ca="1" si="5"/>
        <v>46063</v>
      </c>
      <c r="C112" s="1" t="str">
        <f t="shared" ca="1" si="6"/>
        <v>Organic Search</v>
      </c>
      <c r="D112" s="1" t="str">
        <f t="shared" ca="1" si="7"/>
        <v>Customer</v>
      </c>
      <c r="E112" s="1" t="str">
        <f t="shared" ca="1" si="8"/>
        <v>Yes</v>
      </c>
      <c r="F112" s="1">
        <f t="shared" ca="1" si="9"/>
        <v>99700</v>
      </c>
    </row>
    <row r="113" spans="1:6" x14ac:dyDescent="0.3">
      <c r="A113" s="1">
        <v>112</v>
      </c>
      <c r="B113" s="2">
        <f t="shared" ca="1" si="5"/>
        <v>46069</v>
      </c>
      <c r="C113" s="1" t="str">
        <f t="shared" ca="1" si="6"/>
        <v>Paid Social</v>
      </c>
      <c r="D113" s="1" t="str">
        <f t="shared" ca="1" si="7"/>
        <v>Lead</v>
      </c>
      <c r="E113" s="1" t="str">
        <f t="shared" ca="1" si="8"/>
        <v>No</v>
      </c>
      <c r="F113" s="1">
        <f t="shared" ca="1" si="9"/>
        <v>0</v>
      </c>
    </row>
    <row r="114" spans="1:6" x14ac:dyDescent="0.3">
      <c r="A114" s="1">
        <v>113</v>
      </c>
      <c r="B114" s="2">
        <f t="shared" ca="1" si="5"/>
        <v>46048</v>
      </c>
      <c r="C114" s="1" t="str">
        <f t="shared" ca="1" si="6"/>
        <v>Referral</v>
      </c>
      <c r="D114" s="1" t="str">
        <f t="shared" ca="1" si="7"/>
        <v>Visitor</v>
      </c>
      <c r="E114" s="1" t="str">
        <f t="shared" ca="1" si="8"/>
        <v>No</v>
      </c>
      <c r="F114" s="1">
        <f t="shared" ca="1" si="9"/>
        <v>0</v>
      </c>
    </row>
    <row r="115" spans="1:6" x14ac:dyDescent="0.3">
      <c r="A115" s="1">
        <v>114</v>
      </c>
      <c r="B115" s="2">
        <f t="shared" ca="1" si="5"/>
        <v>46078</v>
      </c>
      <c r="C115" s="1" t="str">
        <f t="shared" ca="1" si="6"/>
        <v>Referral</v>
      </c>
      <c r="D115" s="1" t="str">
        <f t="shared" ca="1" si="7"/>
        <v>Visitor</v>
      </c>
      <c r="E115" s="1" t="str">
        <f t="shared" ca="1" si="8"/>
        <v>No</v>
      </c>
      <c r="F115" s="1">
        <f t="shared" ca="1" si="9"/>
        <v>0</v>
      </c>
    </row>
    <row r="116" spans="1:6" x14ac:dyDescent="0.3">
      <c r="A116" s="1">
        <v>115</v>
      </c>
      <c r="B116" s="2">
        <f t="shared" ca="1" si="5"/>
        <v>46091</v>
      </c>
      <c r="C116" s="1" t="str">
        <f t="shared" ca="1" si="6"/>
        <v>Referral</v>
      </c>
      <c r="D116" s="1" t="str">
        <f t="shared" ca="1" si="7"/>
        <v>Lead</v>
      </c>
      <c r="E116" s="1" t="str">
        <f t="shared" ca="1" si="8"/>
        <v>No</v>
      </c>
      <c r="F116" s="1">
        <f t="shared" ca="1" si="9"/>
        <v>0</v>
      </c>
    </row>
    <row r="117" spans="1:6" x14ac:dyDescent="0.3">
      <c r="A117" s="1">
        <v>116</v>
      </c>
      <c r="B117" s="2">
        <f t="shared" ca="1" si="5"/>
        <v>46098</v>
      </c>
      <c r="C117" s="1" t="str">
        <f t="shared" ca="1" si="6"/>
        <v>Referral</v>
      </c>
      <c r="D117" s="1" t="str">
        <f t="shared" ca="1" si="7"/>
        <v>Lead</v>
      </c>
      <c r="E117" s="1" t="str">
        <f t="shared" ca="1" si="8"/>
        <v>No</v>
      </c>
      <c r="F117" s="1">
        <f t="shared" ca="1" si="9"/>
        <v>0</v>
      </c>
    </row>
    <row r="118" spans="1:6" x14ac:dyDescent="0.3">
      <c r="A118" s="1">
        <v>117</v>
      </c>
      <c r="B118" s="2">
        <f t="shared" ca="1" si="5"/>
        <v>46064</v>
      </c>
      <c r="C118" s="1" t="str">
        <f t="shared" ca="1" si="6"/>
        <v>Referral</v>
      </c>
      <c r="D118" s="1" t="str">
        <f t="shared" ca="1" si="7"/>
        <v>Visitor</v>
      </c>
      <c r="E118" s="1" t="str">
        <f t="shared" ca="1" si="8"/>
        <v>No</v>
      </c>
      <c r="F118" s="1">
        <f t="shared" ca="1" si="9"/>
        <v>0</v>
      </c>
    </row>
    <row r="119" spans="1:6" x14ac:dyDescent="0.3">
      <c r="A119" s="1">
        <v>118</v>
      </c>
      <c r="B119" s="2">
        <f t="shared" ca="1" si="5"/>
        <v>46078</v>
      </c>
      <c r="C119" s="1" t="str">
        <f t="shared" ca="1" si="6"/>
        <v>Paid Social</v>
      </c>
      <c r="D119" s="1" t="str">
        <f t="shared" ca="1" si="7"/>
        <v>MQL</v>
      </c>
      <c r="E119" s="1" t="str">
        <f t="shared" ca="1" si="8"/>
        <v>No</v>
      </c>
      <c r="F119" s="1">
        <f t="shared" ca="1" si="9"/>
        <v>0</v>
      </c>
    </row>
    <row r="120" spans="1:6" x14ac:dyDescent="0.3">
      <c r="A120" s="1">
        <v>119</v>
      </c>
      <c r="B120" s="2">
        <f t="shared" ca="1" si="5"/>
        <v>46074</v>
      </c>
      <c r="C120" s="1" t="str">
        <f t="shared" ca="1" si="6"/>
        <v>Referral</v>
      </c>
      <c r="D120" s="1" t="str">
        <f t="shared" ca="1" si="7"/>
        <v>Lead</v>
      </c>
      <c r="E120" s="1" t="str">
        <f t="shared" ca="1" si="8"/>
        <v>No</v>
      </c>
      <c r="F120" s="1">
        <f t="shared" ca="1" si="9"/>
        <v>0</v>
      </c>
    </row>
    <row r="121" spans="1:6" x14ac:dyDescent="0.3">
      <c r="A121" s="1">
        <v>120</v>
      </c>
      <c r="B121" s="2">
        <f t="shared" ca="1" si="5"/>
        <v>46036</v>
      </c>
      <c r="C121" s="1" t="str">
        <f t="shared" ca="1" si="6"/>
        <v>Paid Search</v>
      </c>
      <c r="D121" s="1" t="str">
        <f t="shared" ca="1" si="7"/>
        <v>Customer</v>
      </c>
      <c r="E121" s="1" t="str">
        <f t="shared" ca="1" si="8"/>
        <v>Yes</v>
      </c>
      <c r="F121" s="1">
        <f t="shared" ca="1" si="9"/>
        <v>226600</v>
      </c>
    </row>
    <row r="122" spans="1:6" x14ac:dyDescent="0.3">
      <c r="A122" s="1">
        <v>121</v>
      </c>
      <c r="B122" s="2">
        <f t="shared" ca="1" si="5"/>
        <v>46065</v>
      </c>
      <c r="C122" s="1" t="str">
        <f t="shared" ca="1" si="6"/>
        <v>Organic Search</v>
      </c>
      <c r="D122" s="1" t="str">
        <f t="shared" ca="1" si="7"/>
        <v>Visitor</v>
      </c>
      <c r="E122" s="1" t="str">
        <f t="shared" ca="1" si="8"/>
        <v>No</v>
      </c>
      <c r="F122" s="1">
        <f t="shared" ca="1" si="9"/>
        <v>0</v>
      </c>
    </row>
    <row r="123" spans="1:6" x14ac:dyDescent="0.3">
      <c r="A123" s="1">
        <v>122</v>
      </c>
      <c r="B123" s="2">
        <f t="shared" ca="1" si="5"/>
        <v>46077</v>
      </c>
      <c r="C123" s="1" t="str">
        <f t="shared" ca="1" si="6"/>
        <v>Paid Social</v>
      </c>
      <c r="D123" s="1" t="str">
        <f t="shared" ca="1" si="7"/>
        <v>MQL</v>
      </c>
      <c r="E123" s="1" t="str">
        <f t="shared" ca="1" si="8"/>
        <v>No</v>
      </c>
      <c r="F123" s="1">
        <f t="shared" ca="1" si="9"/>
        <v>0</v>
      </c>
    </row>
    <row r="124" spans="1:6" x14ac:dyDescent="0.3">
      <c r="A124" s="1">
        <v>123</v>
      </c>
      <c r="B124" s="2">
        <f t="shared" ca="1" si="5"/>
        <v>46096</v>
      </c>
      <c r="C124" s="1" t="str">
        <f t="shared" ca="1" si="6"/>
        <v>Paid Search</v>
      </c>
      <c r="D124" s="1" t="str">
        <f t="shared" ca="1" si="7"/>
        <v>MQL</v>
      </c>
      <c r="E124" s="1" t="str">
        <f t="shared" ca="1" si="8"/>
        <v>No</v>
      </c>
      <c r="F124" s="1">
        <f t="shared" ca="1" si="9"/>
        <v>0</v>
      </c>
    </row>
    <row r="125" spans="1:6" x14ac:dyDescent="0.3">
      <c r="A125" s="1">
        <v>124</v>
      </c>
      <c r="B125" s="2">
        <f t="shared" ca="1" si="5"/>
        <v>46060</v>
      </c>
      <c r="C125" s="1" t="str">
        <f t="shared" ca="1" si="6"/>
        <v>Referral</v>
      </c>
      <c r="D125" s="1" t="str">
        <f t="shared" ca="1" si="7"/>
        <v>Visitor</v>
      </c>
      <c r="E125" s="1" t="str">
        <f t="shared" ca="1" si="8"/>
        <v>No</v>
      </c>
      <c r="F125" s="1">
        <f t="shared" ca="1" si="9"/>
        <v>0</v>
      </c>
    </row>
    <row r="126" spans="1:6" x14ac:dyDescent="0.3">
      <c r="A126" s="1">
        <v>125</v>
      </c>
      <c r="B126" s="2">
        <f t="shared" ca="1" si="5"/>
        <v>46049</v>
      </c>
      <c r="C126" s="1" t="str">
        <f t="shared" ca="1" si="6"/>
        <v>Paid Search</v>
      </c>
      <c r="D126" s="1" t="str">
        <f t="shared" ca="1" si="7"/>
        <v>Visitor</v>
      </c>
      <c r="E126" s="1" t="str">
        <f t="shared" ca="1" si="8"/>
        <v>No</v>
      </c>
      <c r="F126" s="1">
        <f t="shared" ca="1" si="9"/>
        <v>0</v>
      </c>
    </row>
    <row r="127" spans="1:6" x14ac:dyDescent="0.3">
      <c r="A127" s="1">
        <v>126</v>
      </c>
      <c r="B127" s="2">
        <f t="shared" ca="1" si="5"/>
        <v>46082</v>
      </c>
      <c r="C127" s="1" t="str">
        <f t="shared" ca="1" si="6"/>
        <v>Paid Search</v>
      </c>
      <c r="D127" s="1" t="str">
        <f t="shared" ca="1" si="7"/>
        <v>MQL</v>
      </c>
      <c r="E127" s="1" t="str">
        <f t="shared" ca="1" si="8"/>
        <v>No</v>
      </c>
      <c r="F127" s="1">
        <f t="shared" ca="1" si="9"/>
        <v>0</v>
      </c>
    </row>
    <row r="128" spans="1:6" x14ac:dyDescent="0.3">
      <c r="A128" s="1">
        <v>127</v>
      </c>
      <c r="B128" s="2">
        <f t="shared" ca="1" si="5"/>
        <v>46039</v>
      </c>
      <c r="C128" s="1" t="str">
        <f t="shared" ca="1" si="6"/>
        <v>Email</v>
      </c>
      <c r="D128" s="1" t="str">
        <f t="shared" ca="1" si="7"/>
        <v>SQL</v>
      </c>
      <c r="E128" s="1" t="str">
        <f t="shared" ca="1" si="8"/>
        <v>No</v>
      </c>
      <c r="F128" s="1">
        <f t="shared" ca="1" si="9"/>
        <v>0</v>
      </c>
    </row>
    <row r="129" spans="1:6" x14ac:dyDescent="0.3">
      <c r="A129" s="1">
        <v>128</v>
      </c>
      <c r="B129" s="2">
        <f t="shared" ca="1" si="5"/>
        <v>46021</v>
      </c>
      <c r="C129" s="1" t="str">
        <f t="shared" ca="1" si="6"/>
        <v>Email</v>
      </c>
      <c r="D129" s="1" t="str">
        <f t="shared" ca="1" si="7"/>
        <v>Lead</v>
      </c>
      <c r="E129" s="1" t="str">
        <f t="shared" ca="1" si="8"/>
        <v>No</v>
      </c>
      <c r="F129" s="1">
        <f t="shared" ca="1" si="9"/>
        <v>0</v>
      </c>
    </row>
    <row r="130" spans="1:6" x14ac:dyDescent="0.3">
      <c r="A130" s="1">
        <v>129</v>
      </c>
      <c r="B130" s="2">
        <f t="shared" ca="1" si="5"/>
        <v>46091</v>
      </c>
      <c r="C130" s="1" t="str">
        <f t="shared" ca="1" si="6"/>
        <v>Paid Social</v>
      </c>
      <c r="D130" s="1" t="str">
        <f t="shared" ca="1" si="7"/>
        <v>Visitor</v>
      </c>
      <c r="E130" s="1" t="str">
        <f t="shared" ca="1" si="8"/>
        <v>No</v>
      </c>
      <c r="F130" s="1">
        <f t="shared" ca="1" si="9"/>
        <v>0</v>
      </c>
    </row>
    <row r="131" spans="1:6" x14ac:dyDescent="0.3">
      <c r="A131" s="1">
        <v>130</v>
      </c>
      <c r="B131" s="2">
        <f t="shared" ref="B131:B194" ca="1" si="10">TODAY()-RANDBETWEEN(1,90)</f>
        <v>46036</v>
      </c>
      <c r="C131" s="1" t="str">
        <f t="shared" ref="C131:C194" ca="1" si="11">CHOOSE(RANDBETWEEN(1,5),"Organic Search","Paid Search","Paid Social","Email","Referral")</f>
        <v>Referral</v>
      </c>
      <c r="D131" s="1" t="str">
        <f t="shared" ref="D131:D194" ca="1" si="12">CHOOSE(RANDBETWEEN(1,10),"Visitor","Visitor","Visitor","Visitor","Lead","Lead","Lead","MQL","SQL","Customer")</f>
        <v>Customer</v>
      </c>
      <c r="E131" s="1" t="str">
        <f t="shared" ref="E131:E194" ca="1" si="13">IF(D131="Customer","Yes","No")</f>
        <v>Yes</v>
      </c>
      <c r="F131" s="1">
        <f t="shared" ref="F131:F194" ca="1" si="14">IF(E131="Yes",RANDBETWEEN(500,5000)*100,0)</f>
        <v>135200</v>
      </c>
    </row>
    <row r="132" spans="1:6" x14ac:dyDescent="0.3">
      <c r="A132" s="1">
        <v>131</v>
      </c>
      <c r="B132" s="2">
        <f t="shared" ca="1" si="10"/>
        <v>46065</v>
      </c>
      <c r="C132" s="1" t="str">
        <f t="shared" ca="1" si="11"/>
        <v>Referral</v>
      </c>
      <c r="D132" s="1" t="str">
        <f t="shared" ca="1" si="12"/>
        <v>Visitor</v>
      </c>
      <c r="E132" s="1" t="str">
        <f t="shared" ca="1" si="13"/>
        <v>No</v>
      </c>
      <c r="F132" s="1">
        <f t="shared" ca="1" si="14"/>
        <v>0</v>
      </c>
    </row>
    <row r="133" spans="1:6" x14ac:dyDescent="0.3">
      <c r="A133" s="1">
        <v>132</v>
      </c>
      <c r="B133" s="2">
        <f t="shared" ca="1" si="10"/>
        <v>46084</v>
      </c>
      <c r="C133" s="1" t="str">
        <f t="shared" ca="1" si="11"/>
        <v>Paid Search</v>
      </c>
      <c r="D133" s="1" t="str">
        <f t="shared" ca="1" si="12"/>
        <v>Lead</v>
      </c>
      <c r="E133" s="1" t="str">
        <f t="shared" ca="1" si="13"/>
        <v>No</v>
      </c>
      <c r="F133" s="1">
        <f t="shared" ca="1" si="14"/>
        <v>0</v>
      </c>
    </row>
    <row r="134" spans="1:6" x14ac:dyDescent="0.3">
      <c r="A134" s="1">
        <v>133</v>
      </c>
      <c r="B134" s="2">
        <f t="shared" ca="1" si="10"/>
        <v>46039</v>
      </c>
      <c r="C134" s="1" t="str">
        <f t="shared" ca="1" si="11"/>
        <v>Organic Search</v>
      </c>
      <c r="D134" s="1" t="str">
        <f t="shared" ca="1" si="12"/>
        <v>Visitor</v>
      </c>
      <c r="E134" s="1" t="str">
        <f t="shared" ca="1" si="13"/>
        <v>No</v>
      </c>
      <c r="F134" s="1">
        <f t="shared" ca="1" si="14"/>
        <v>0</v>
      </c>
    </row>
    <row r="135" spans="1:6" x14ac:dyDescent="0.3">
      <c r="A135" s="1">
        <v>134</v>
      </c>
      <c r="B135" s="2">
        <f t="shared" ca="1" si="10"/>
        <v>46024</v>
      </c>
      <c r="C135" s="1" t="str">
        <f t="shared" ca="1" si="11"/>
        <v>Organic Search</v>
      </c>
      <c r="D135" s="1" t="str">
        <f t="shared" ca="1" si="12"/>
        <v>Visitor</v>
      </c>
      <c r="E135" s="1" t="str">
        <f t="shared" ca="1" si="13"/>
        <v>No</v>
      </c>
      <c r="F135" s="1">
        <f t="shared" ca="1" si="14"/>
        <v>0</v>
      </c>
    </row>
    <row r="136" spans="1:6" x14ac:dyDescent="0.3">
      <c r="A136" s="1">
        <v>135</v>
      </c>
      <c r="B136" s="2">
        <f t="shared" ca="1" si="10"/>
        <v>46056</v>
      </c>
      <c r="C136" s="1" t="str">
        <f t="shared" ca="1" si="11"/>
        <v>Paid Social</v>
      </c>
      <c r="D136" s="1" t="str">
        <f t="shared" ca="1" si="12"/>
        <v>Lead</v>
      </c>
      <c r="E136" s="1" t="str">
        <f t="shared" ca="1" si="13"/>
        <v>No</v>
      </c>
      <c r="F136" s="1">
        <f t="shared" ca="1" si="14"/>
        <v>0</v>
      </c>
    </row>
    <row r="137" spans="1:6" x14ac:dyDescent="0.3">
      <c r="A137" s="1">
        <v>136</v>
      </c>
      <c r="B137" s="2">
        <f t="shared" ca="1" si="10"/>
        <v>46102</v>
      </c>
      <c r="C137" s="1" t="str">
        <f t="shared" ca="1" si="11"/>
        <v>Organic Search</v>
      </c>
      <c r="D137" s="1" t="str">
        <f t="shared" ca="1" si="12"/>
        <v>Visitor</v>
      </c>
      <c r="E137" s="1" t="str">
        <f t="shared" ca="1" si="13"/>
        <v>No</v>
      </c>
      <c r="F137" s="1">
        <f t="shared" ca="1" si="14"/>
        <v>0</v>
      </c>
    </row>
    <row r="138" spans="1:6" x14ac:dyDescent="0.3">
      <c r="A138" s="1">
        <v>137</v>
      </c>
      <c r="B138" s="2">
        <f t="shared" ca="1" si="10"/>
        <v>46036</v>
      </c>
      <c r="C138" s="1" t="str">
        <f t="shared" ca="1" si="11"/>
        <v>Organic Search</v>
      </c>
      <c r="D138" s="1" t="str">
        <f t="shared" ca="1" si="12"/>
        <v>SQL</v>
      </c>
      <c r="E138" s="1" t="str">
        <f t="shared" ca="1" si="13"/>
        <v>No</v>
      </c>
      <c r="F138" s="1">
        <f t="shared" ca="1" si="14"/>
        <v>0</v>
      </c>
    </row>
    <row r="139" spans="1:6" x14ac:dyDescent="0.3">
      <c r="A139" s="1">
        <v>138</v>
      </c>
      <c r="B139" s="2">
        <f t="shared" ca="1" si="10"/>
        <v>46019</v>
      </c>
      <c r="C139" s="1" t="str">
        <f t="shared" ca="1" si="11"/>
        <v>Paid Search</v>
      </c>
      <c r="D139" s="1" t="str">
        <f t="shared" ca="1" si="12"/>
        <v>MQL</v>
      </c>
      <c r="E139" s="1" t="str">
        <f t="shared" ca="1" si="13"/>
        <v>No</v>
      </c>
      <c r="F139" s="1">
        <f t="shared" ca="1" si="14"/>
        <v>0</v>
      </c>
    </row>
    <row r="140" spans="1:6" x14ac:dyDescent="0.3">
      <c r="A140" s="1">
        <v>139</v>
      </c>
      <c r="B140" s="2">
        <f t="shared" ca="1" si="10"/>
        <v>46072</v>
      </c>
      <c r="C140" s="1" t="str">
        <f t="shared" ca="1" si="11"/>
        <v>Organic Search</v>
      </c>
      <c r="D140" s="1" t="str">
        <f t="shared" ca="1" si="12"/>
        <v>Lead</v>
      </c>
      <c r="E140" s="1" t="str">
        <f t="shared" ca="1" si="13"/>
        <v>No</v>
      </c>
      <c r="F140" s="1">
        <f t="shared" ca="1" si="14"/>
        <v>0</v>
      </c>
    </row>
    <row r="141" spans="1:6" x14ac:dyDescent="0.3">
      <c r="A141" s="1">
        <v>140</v>
      </c>
      <c r="B141" s="2">
        <f t="shared" ca="1" si="10"/>
        <v>46027</v>
      </c>
      <c r="C141" s="1" t="str">
        <f t="shared" ca="1" si="11"/>
        <v>Paid Search</v>
      </c>
      <c r="D141" s="1" t="str">
        <f t="shared" ca="1" si="12"/>
        <v>Visitor</v>
      </c>
      <c r="E141" s="1" t="str">
        <f t="shared" ca="1" si="13"/>
        <v>No</v>
      </c>
      <c r="F141" s="1">
        <f t="shared" ca="1" si="14"/>
        <v>0</v>
      </c>
    </row>
    <row r="142" spans="1:6" x14ac:dyDescent="0.3">
      <c r="A142" s="1">
        <v>141</v>
      </c>
      <c r="B142" s="2">
        <f t="shared" ca="1" si="10"/>
        <v>46074</v>
      </c>
      <c r="C142" s="1" t="str">
        <f t="shared" ca="1" si="11"/>
        <v>Email</v>
      </c>
      <c r="D142" s="1" t="str">
        <f t="shared" ca="1" si="12"/>
        <v>Lead</v>
      </c>
      <c r="E142" s="1" t="str">
        <f t="shared" ca="1" si="13"/>
        <v>No</v>
      </c>
      <c r="F142" s="1">
        <f t="shared" ca="1" si="14"/>
        <v>0</v>
      </c>
    </row>
    <row r="143" spans="1:6" x14ac:dyDescent="0.3">
      <c r="A143" s="1">
        <v>142</v>
      </c>
      <c r="B143" s="2">
        <f t="shared" ca="1" si="10"/>
        <v>46088</v>
      </c>
      <c r="C143" s="1" t="str">
        <f t="shared" ca="1" si="11"/>
        <v>Email</v>
      </c>
      <c r="D143" s="1" t="str">
        <f t="shared" ca="1" si="12"/>
        <v>Customer</v>
      </c>
      <c r="E143" s="1" t="str">
        <f t="shared" ca="1" si="13"/>
        <v>Yes</v>
      </c>
      <c r="F143" s="1">
        <f t="shared" ca="1" si="14"/>
        <v>143100</v>
      </c>
    </row>
    <row r="144" spans="1:6" x14ac:dyDescent="0.3">
      <c r="A144" s="1">
        <v>143</v>
      </c>
      <c r="B144" s="2">
        <f t="shared" ca="1" si="10"/>
        <v>46024</v>
      </c>
      <c r="C144" s="1" t="str">
        <f t="shared" ca="1" si="11"/>
        <v>Paid Social</v>
      </c>
      <c r="D144" s="1" t="str">
        <f t="shared" ca="1" si="12"/>
        <v>Lead</v>
      </c>
      <c r="E144" s="1" t="str">
        <f t="shared" ca="1" si="13"/>
        <v>No</v>
      </c>
      <c r="F144" s="1">
        <f t="shared" ca="1" si="14"/>
        <v>0</v>
      </c>
    </row>
    <row r="145" spans="1:6" x14ac:dyDescent="0.3">
      <c r="A145" s="1">
        <v>144</v>
      </c>
      <c r="B145" s="2">
        <f t="shared" ca="1" si="10"/>
        <v>46047</v>
      </c>
      <c r="C145" s="1" t="str">
        <f t="shared" ca="1" si="11"/>
        <v>Organic Search</v>
      </c>
      <c r="D145" s="1" t="str">
        <f t="shared" ca="1" si="12"/>
        <v>SQL</v>
      </c>
      <c r="E145" s="1" t="str">
        <f t="shared" ca="1" si="13"/>
        <v>No</v>
      </c>
      <c r="F145" s="1">
        <f t="shared" ca="1" si="14"/>
        <v>0</v>
      </c>
    </row>
    <row r="146" spans="1:6" x14ac:dyDescent="0.3">
      <c r="A146" s="1">
        <v>145</v>
      </c>
      <c r="B146" s="2">
        <f t="shared" ca="1" si="10"/>
        <v>46100</v>
      </c>
      <c r="C146" s="1" t="str">
        <f t="shared" ca="1" si="11"/>
        <v>Referral</v>
      </c>
      <c r="D146" s="1" t="str">
        <f t="shared" ca="1" si="12"/>
        <v>MQL</v>
      </c>
      <c r="E146" s="1" t="str">
        <f t="shared" ca="1" si="13"/>
        <v>No</v>
      </c>
      <c r="F146" s="1">
        <f t="shared" ca="1" si="14"/>
        <v>0</v>
      </c>
    </row>
    <row r="147" spans="1:6" x14ac:dyDescent="0.3">
      <c r="A147" s="1">
        <v>146</v>
      </c>
      <c r="B147" s="2">
        <f t="shared" ca="1" si="10"/>
        <v>46078</v>
      </c>
      <c r="C147" s="1" t="str">
        <f t="shared" ca="1" si="11"/>
        <v>Paid Social</v>
      </c>
      <c r="D147" s="1" t="str">
        <f t="shared" ca="1" si="12"/>
        <v>Visitor</v>
      </c>
      <c r="E147" s="1" t="str">
        <f t="shared" ca="1" si="13"/>
        <v>No</v>
      </c>
      <c r="F147" s="1">
        <f t="shared" ca="1" si="14"/>
        <v>0</v>
      </c>
    </row>
    <row r="148" spans="1:6" x14ac:dyDescent="0.3">
      <c r="A148" s="1">
        <v>147</v>
      </c>
      <c r="B148" s="2">
        <f t="shared" ca="1" si="10"/>
        <v>46019</v>
      </c>
      <c r="C148" s="1" t="str">
        <f t="shared" ca="1" si="11"/>
        <v>Email</v>
      </c>
      <c r="D148" s="1" t="str">
        <f t="shared" ca="1" si="12"/>
        <v>Lead</v>
      </c>
      <c r="E148" s="1" t="str">
        <f t="shared" ca="1" si="13"/>
        <v>No</v>
      </c>
      <c r="F148" s="1">
        <f t="shared" ca="1" si="14"/>
        <v>0</v>
      </c>
    </row>
    <row r="149" spans="1:6" x14ac:dyDescent="0.3">
      <c r="A149" s="1">
        <v>148</v>
      </c>
      <c r="B149" s="2">
        <f t="shared" ca="1" si="10"/>
        <v>46084</v>
      </c>
      <c r="C149" s="1" t="str">
        <f t="shared" ca="1" si="11"/>
        <v>Organic Search</v>
      </c>
      <c r="D149" s="1" t="str">
        <f t="shared" ca="1" si="12"/>
        <v>Visitor</v>
      </c>
      <c r="E149" s="1" t="str">
        <f t="shared" ca="1" si="13"/>
        <v>No</v>
      </c>
      <c r="F149" s="1">
        <f t="shared" ca="1" si="14"/>
        <v>0</v>
      </c>
    </row>
    <row r="150" spans="1:6" x14ac:dyDescent="0.3">
      <c r="A150" s="1">
        <v>149</v>
      </c>
      <c r="B150" s="2">
        <f t="shared" ca="1" si="10"/>
        <v>46015</v>
      </c>
      <c r="C150" s="1" t="str">
        <f t="shared" ca="1" si="11"/>
        <v>Referral</v>
      </c>
      <c r="D150" s="1" t="str">
        <f t="shared" ca="1" si="12"/>
        <v>Lead</v>
      </c>
      <c r="E150" s="1" t="str">
        <f t="shared" ca="1" si="13"/>
        <v>No</v>
      </c>
      <c r="F150" s="1">
        <f t="shared" ca="1" si="14"/>
        <v>0</v>
      </c>
    </row>
    <row r="151" spans="1:6" x14ac:dyDescent="0.3">
      <c r="A151" s="1">
        <v>150</v>
      </c>
      <c r="B151" s="2">
        <f t="shared" ca="1" si="10"/>
        <v>46079</v>
      </c>
      <c r="C151" s="1" t="str">
        <f t="shared" ca="1" si="11"/>
        <v>Paid Search</v>
      </c>
      <c r="D151" s="1" t="str">
        <f t="shared" ca="1" si="12"/>
        <v>Visitor</v>
      </c>
      <c r="E151" s="1" t="str">
        <f t="shared" ca="1" si="13"/>
        <v>No</v>
      </c>
      <c r="F151" s="1">
        <f t="shared" ca="1" si="14"/>
        <v>0</v>
      </c>
    </row>
    <row r="152" spans="1:6" x14ac:dyDescent="0.3">
      <c r="A152" s="1">
        <v>151</v>
      </c>
      <c r="B152" s="2">
        <f t="shared" ca="1" si="10"/>
        <v>46013</v>
      </c>
      <c r="C152" s="1" t="str">
        <f t="shared" ca="1" si="11"/>
        <v>Referral</v>
      </c>
      <c r="D152" s="1" t="str">
        <f t="shared" ca="1" si="12"/>
        <v>Visitor</v>
      </c>
      <c r="E152" s="1" t="str">
        <f t="shared" ca="1" si="13"/>
        <v>No</v>
      </c>
      <c r="F152" s="1">
        <f t="shared" ca="1" si="14"/>
        <v>0</v>
      </c>
    </row>
    <row r="153" spans="1:6" x14ac:dyDescent="0.3">
      <c r="A153" s="1">
        <v>152</v>
      </c>
      <c r="B153" s="2">
        <f t="shared" ca="1" si="10"/>
        <v>46076</v>
      </c>
      <c r="C153" s="1" t="str">
        <f t="shared" ca="1" si="11"/>
        <v>Organic Search</v>
      </c>
      <c r="D153" s="1" t="str">
        <f t="shared" ca="1" si="12"/>
        <v>Visitor</v>
      </c>
      <c r="E153" s="1" t="str">
        <f t="shared" ca="1" si="13"/>
        <v>No</v>
      </c>
      <c r="F153" s="1">
        <f t="shared" ca="1" si="14"/>
        <v>0</v>
      </c>
    </row>
    <row r="154" spans="1:6" x14ac:dyDescent="0.3">
      <c r="A154" s="1">
        <v>153</v>
      </c>
      <c r="B154" s="2">
        <f t="shared" ca="1" si="10"/>
        <v>46077</v>
      </c>
      <c r="C154" s="1" t="str">
        <f t="shared" ca="1" si="11"/>
        <v>Paid Social</v>
      </c>
      <c r="D154" s="1" t="str">
        <f t="shared" ca="1" si="12"/>
        <v>Lead</v>
      </c>
      <c r="E154" s="1" t="str">
        <f t="shared" ca="1" si="13"/>
        <v>No</v>
      </c>
      <c r="F154" s="1">
        <f t="shared" ca="1" si="14"/>
        <v>0</v>
      </c>
    </row>
    <row r="155" spans="1:6" x14ac:dyDescent="0.3">
      <c r="A155" s="1">
        <v>154</v>
      </c>
      <c r="B155" s="2">
        <f t="shared" ca="1" si="10"/>
        <v>46091</v>
      </c>
      <c r="C155" s="1" t="str">
        <f t="shared" ca="1" si="11"/>
        <v>Organic Search</v>
      </c>
      <c r="D155" s="1" t="str">
        <f t="shared" ca="1" si="12"/>
        <v>Lead</v>
      </c>
      <c r="E155" s="1" t="str">
        <f t="shared" ca="1" si="13"/>
        <v>No</v>
      </c>
      <c r="F155" s="1">
        <f t="shared" ca="1" si="14"/>
        <v>0</v>
      </c>
    </row>
    <row r="156" spans="1:6" x14ac:dyDescent="0.3">
      <c r="A156" s="1">
        <v>155</v>
      </c>
      <c r="B156" s="2">
        <f t="shared" ca="1" si="10"/>
        <v>46082</v>
      </c>
      <c r="C156" s="1" t="str">
        <f t="shared" ca="1" si="11"/>
        <v>Referral</v>
      </c>
      <c r="D156" s="1" t="str">
        <f t="shared" ca="1" si="12"/>
        <v>MQL</v>
      </c>
      <c r="E156" s="1" t="str">
        <f t="shared" ca="1" si="13"/>
        <v>No</v>
      </c>
      <c r="F156" s="1">
        <f t="shared" ca="1" si="14"/>
        <v>0</v>
      </c>
    </row>
    <row r="157" spans="1:6" x14ac:dyDescent="0.3">
      <c r="A157" s="1">
        <v>156</v>
      </c>
      <c r="B157" s="2">
        <f t="shared" ca="1" si="10"/>
        <v>46045</v>
      </c>
      <c r="C157" s="1" t="str">
        <f t="shared" ca="1" si="11"/>
        <v>Paid Search</v>
      </c>
      <c r="D157" s="1" t="str">
        <f t="shared" ca="1" si="12"/>
        <v>Visitor</v>
      </c>
      <c r="E157" s="1" t="str">
        <f t="shared" ca="1" si="13"/>
        <v>No</v>
      </c>
      <c r="F157" s="1">
        <f t="shared" ca="1" si="14"/>
        <v>0</v>
      </c>
    </row>
    <row r="158" spans="1:6" x14ac:dyDescent="0.3">
      <c r="A158" s="1">
        <v>157</v>
      </c>
      <c r="B158" s="2">
        <f t="shared" ca="1" si="10"/>
        <v>46054</v>
      </c>
      <c r="C158" s="1" t="str">
        <f t="shared" ca="1" si="11"/>
        <v>Paid Search</v>
      </c>
      <c r="D158" s="1" t="str">
        <f t="shared" ca="1" si="12"/>
        <v>Lead</v>
      </c>
      <c r="E158" s="1" t="str">
        <f t="shared" ca="1" si="13"/>
        <v>No</v>
      </c>
      <c r="F158" s="1">
        <f t="shared" ca="1" si="14"/>
        <v>0</v>
      </c>
    </row>
    <row r="159" spans="1:6" x14ac:dyDescent="0.3">
      <c r="A159" s="1">
        <v>158</v>
      </c>
      <c r="B159" s="2">
        <f t="shared" ca="1" si="10"/>
        <v>46070</v>
      </c>
      <c r="C159" s="1" t="str">
        <f t="shared" ca="1" si="11"/>
        <v>Paid Search</v>
      </c>
      <c r="D159" s="1" t="str">
        <f t="shared" ca="1" si="12"/>
        <v>MQL</v>
      </c>
      <c r="E159" s="1" t="str">
        <f t="shared" ca="1" si="13"/>
        <v>No</v>
      </c>
      <c r="F159" s="1">
        <f t="shared" ca="1" si="14"/>
        <v>0</v>
      </c>
    </row>
    <row r="160" spans="1:6" x14ac:dyDescent="0.3">
      <c r="A160" s="1">
        <v>159</v>
      </c>
      <c r="B160" s="2">
        <f t="shared" ca="1" si="10"/>
        <v>46026</v>
      </c>
      <c r="C160" s="1" t="str">
        <f t="shared" ca="1" si="11"/>
        <v>Paid Search</v>
      </c>
      <c r="D160" s="1" t="str">
        <f t="shared" ca="1" si="12"/>
        <v>Lead</v>
      </c>
      <c r="E160" s="1" t="str">
        <f t="shared" ca="1" si="13"/>
        <v>No</v>
      </c>
      <c r="F160" s="1">
        <f t="shared" ca="1" si="14"/>
        <v>0</v>
      </c>
    </row>
    <row r="161" spans="1:6" x14ac:dyDescent="0.3">
      <c r="A161" s="1">
        <v>160</v>
      </c>
      <c r="B161" s="2">
        <f t="shared" ca="1" si="10"/>
        <v>46088</v>
      </c>
      <c r="C161" s="1" t="str">
        <f t="shared" ca="1" si="11"/>
        <v>Referral</v>
      </c>
      <c r="D161" s="1" t="str">
        <f t="shared" ca="1" si="12"/>
        <v>Lead</v>
      </c>
      <c r="E161" s="1" t="str">
        <f t="shared" ca="1" si="13"/>
        <v>No</v>
      </c>
      <c r="F161" s="1">
        <f t="shared" ca="1" si="14"/>
        <v>0</v>
      </c>
    </row>
    <row r="162" spans="1:6" x14ac:dyDescent="0.3">
      <c r="A162" s="1">
        <v>161</v>
      </c>
      <c r="B162" s="2">
        <f t="shared" ca="1" si="10"/>
        <v>46097</v>
      </c>
      <c r="C162" s="1" t="str">
        <f t="shared" ca="1" si="11"/>
        <v>Paid Search</v>
      </c>
      <c r="D162" s="1" t="str">
        <f t="shared" ca="1" si="12"/>
        <v>Lead</v>
      </c>
      <c r="E162" s="1" t="str">
        <f t="shared" ca="1" si="13"/>
        <v>No</v>
      </c>
      <c r="F162" s="1">
        <f t="shared" ca="1" si="14"/>
        <v>0</v>
      </c>
    </row>
    <row r="163" spans="1:6" x14ac:dyDescent="0.3">
      <c r="A163" s="1">
        <v>162</v>
      </c>
      <c r="B163" s="2">
        <f t="shared" ca="1" si="10"/>
        <v>46101</v>
      </c>
      <c r="C163" s="1" t="str">
        <f t="shared" ca="1" si="11"/>
        <v>Referral</v>
      </c>
      <c r="D163" s="1" t="str">
        <f t="shared" ca="1" si="12"/>
        <v>MQL</v>
      </c>
      <c r="E163" s="1" t="str">
        <f t="shared" ca="1" si="13"/>
        <v>No</v>
      </c>
      <c r="F163" s="1">
        <f t="shared" ca="1" si="14"/>
        <v>0</v>
      </c>
    </row>
    <row r="164" spans="1:6" x14ac:dyDescent="0.3">
      <c r="A164" s="1">
        <v>163</v>
      </c>
      <c r="B164" s="2">
        <f t="shared" ca="1" si="10"/>
        <v>46016</v>
      </c>
      <c r="C164" s="1" t="str">
        <f t="shared" ca="1" si="11"/>
        <v>Referral</v>
      </c>
      <c r="D164" s="1" t="str">
        <f t="shared" ca="1" si="12"/>
        <v>Visitor</v>
      </c>
      <c r="E164" s="1" t="str">
        <f t="shared" ca="1" si="13"/>
        <v>No</v>
      </c>
      <c r="F164" s="1">
        <f t="shared" ca="1" si="14"/>
        <v>0</v>
      </c>
    </row>
    <row r="165" spans="1:6" x14ac:dyDescent="0.3">
      <c r="A165" s="1">
        <v>164</v>
      </c>
      <c r="B165" s="2">
        <f t="shared" ca="1" si="10"/>
        <v>46095</v>
      </c>
      <c r="C165" s="1" t="str">
        <f t="shared" ca="1" si="11"/>
        <v>Paid Social</v>
      </c>
      <c r="D165" s="1" t="str">
        <f t="shared" ca="1" si="12"/>
        <v>Customer</v>
      </c>
      <c r="E165" s="1" t="str">
        <f t="shared" ca="1" si="13"/>
        <v>Yes</v>
      </c>
      <c r="F165" s="1">
        <f t="shared" ca="1" si="14"/>
        <v>414500</v>
      </c>
    </row>
    <row r="166" spans="1:6" x14ac:dyDescent="0.3">
      <c r="A166" s="1">
        <v>165</v>
      </c>
      <c r="B166" s="2">
        <f t="shared" ca="1" si="10"/>
        <v>46026</v>
      </c>
      <c r="C166" s="1" t="str">
        <f t="shared" ca="1" si="11"/>
        <v>Organic Search</v>
      </c>
      <c r="D166" s="1" t="str">
        <f t="shared" ca="1" si="12"/>
        <v>Visitor</v>
      </c>
      <c r="E166" s="1" t="str">
        <f t="shared" ca="1" si="13"/>
        <v>No</v>
      </c>
      <c r="F166" s="1">
        <f t="shared" ca="1" si="14"/>
        <v>0</v>
      </c>
    </row>
    <row r="167" spans="1:6" x14ac:dyDescent="0.3">
      <c r="A167" s="1">
        <v>166</v>
      </c>
      <c r="B167" s="2">
        <f t="shared" ca="1" si="10"/>
        <v>46070</v>
      </c>
      <c r="C167" s="1" t="str">
        <f t="shared" ca="1" si="11"/>
        <v>Paid Search</v>
      </c>
      <c r="D167" s="1" t="str">
        <f t="shared" ca="1" si="12"/>
        <v>Lead</v>
      </c>
      <c r="E167" s="1" t="str">
        <f t="shared" ca="1" si="13"/>
        <v>No</v>
      </c>
      <c r="F167" s="1">
        <f t="shared" ca="1" si="14"/>
        <v>0</v>
      </c>
    </row>
    <row r="168" spans="1:6" x14ac:dyDescent="0.3">
      <c r="A168" s="1">
        <v>167</v>
      </c>
      <c r="B168" s="2">
        <f t="shared" ca="1" si="10"/>
        <v>46078</v>
      </c>
      <c r="C168" s="1" t="str">
        <f t="shared" ca="1" si="11"/>
        <v>Organic Search</v>
      </c>
      <c r="D168" s="1" t="str">
        <f t="shared" ca="1" si="12"/>
        <v>Visitor</v>
      </c>
      <c r="E168" s="1" t="str">
        <f t="shared" ca="1" si="13"/>
        <v>No</v>
      </c>
      <c r="F168" s="1">
        <f t="shared" ca="1" si="14"/>
        <v>0</v>
      </c>
    </row>
    <row r="169" spans="1:6" x14ac:dyDescent="0.3">
      <c r="A169" s="1">
        <v>168</v>
      </c>
      <c r="B169" s="2">
        <f t="shared" ca="1" si="10"/>
        <v>46047</v>
      </c>
      <c r="C169" s="1" t="str">
        <f t="shared" ca="1" si="11"/>
        <v>Referral</v>
      </c>
      <c r="D169" s="1" t="str">
        <f t="shared" ca="1" si="12"/>
        <v>MQL</v>
      </c>
      <c r="E169" s="1" t="str">
        <f t="shared" ca="1" si="13"/>
        <v>No</v>
      </c>
      <c r="F169" s="1">
        <f t="shared" ca="1" si="14"/>
        <v>0</v>
      </c>
    </row>
    <row r="170" spans="1:6" x14ac:dyDescent="0.3">
      <c r="A170" s="1">
        <v>169</v>
      </c>
      <c r="B170" s="2">
        <f t="shared" ca="1" si="10"/>
        <v>46037</v>
      </c>
      <c r="C170" s="1" t="str">
        <f t="shared" ca="1" si="11"/>
        <v>Email</v>
      </c>
      <c r="D170" s="1" t="str">
        <f t="shared" ca="1" si="12"/>
        <v>Customer</v>
      </c>
      <c r="E170" s="1" t="str">
        <f t="shared" ca="1" si="13"/>
        <v>Yes</v>
      </c>
      <c r="F170" s="1">
        <f t="shared" ca="1" si="14"/>
        <v>380500</v>
      </c>
    </row>
    <row r="171" spans="1:6" x14ac:dyDescent="0.3">
      <c r="A171" s="1">
        <v>170</v>
      </c>
      <c r="B171" s="2">
        <f t="shared" ca="1" si="10"/>
        <v>46078</v>
      </c>
      <c r="C171" s="1" t="str">
        <f t="shared" ca="1" si="11"/>
        <v>Paid Social</v>
      </c>
      <c r="D171" s="1" t="str">
        <f t="shared" ca="1" si="12"/>
        <v>Lead</v>
      </c>
      <c r="E171" s="1" t="str">
        <f t="shared" ca="1" si="13"/>
        <v>No</v>
      </c>
      <c r="F171" s="1">
        <f t="shared" ca="1" si="14"/>
        <v>0</v>
      </c>
    </row>
    <row r="172" spans="1:6" x14ac:dyDescent="0.3">
      <c r="A172" s="1">
        <v>171</v>
      </c>
      <c r="B172" s="2">
        <f t="shared" ca="1" si="10"/>
        <v>46049</v>
      </c>
      <c r="C172" s="1" t="str">
        <f t="shared" ca="1" si="11"/>
        <v>Paid Search</v>
      </c>
      <c r="D172" s="1" t="str">
        <f t="shared" ca="1" si="12"/>
        <v>Visitor</v>
      </c>
      <c r="E172" s="1" t="str">
        <f t="shared" ca="1" si="13"/>
        <v>No</v>
      </c>
      <c r="F172" s="1">
        <f t="shared" ca="1" si="14"/>
        <v>0</v>
      </c>
    </row>
    <row r="173" spans="1:6" x14ac:dyDescent="0.3">
      <c r="A173" s="1">
        <v>172</v>
      </c>
      <c r="B173" s="2">
        <f t="shared" ca="1" si="10"/>
        <v>46056</v>
      </c>
      <c r="C173" s="1" t="str">
        <f t="shared" ca="1" si="11"/>
        <v>Email</v>
      </c>
      <c r="D173" s="1" t="str">
        <f t="shared" ca="1" si="12"/>
        <v>Lead</v>
      </c>
      <c r="E173" s="1" t="str">
        <f t="shared" ca="1" si="13"/>
        <v>No</v>
      </c>
      <c r="F173" s="1">
        <f t="shared" ca="1" si="14"/>
        <v>0</v>
      </c>
    </row>
    <row r="174" spans="1:6" x14ac:dyDescent="0.3">
      <c r="A174" s="1">
        <v>173</v>
      </c>
      <c r="B174" s="2">
        <f t="shared" ca="1" si="10"/>
        <v>46094</v>
      </c>
      <c r="C174" s="1" t="str">
        <f t="shared" ca="1" si="11"/>
        <v>Paid Search</v>
      </c>
      <c r="D174" s="1" t="str">
        <f t="shared" ca="1" si="12"/>
        <v>Visitor</v>
      </c>
      <c r="E174" s="1" t="str">
        <f t="shared" ca="1" si="13"/>
        <v>No</v>
      </c>
      <c r="F174" s="1">
        <f t="shared" ca="1" si="14"/>
        <v>0</v>
      </c>
    </row>
    <row r="175" spans="1:6" x14ac:dyDescent="0.3">
      <c r="A175" s="1">
        <v>174</v>
      </c>
      <c r="B175" s="2">
        <f t="shared" ca="1" si="10"/>
        <v>46077</v>
      </c>
      <c r="C175" s="1" t="str">
        <f t="shared" ca="1" si="11"/>
        <v>Email</v>
      </c>
      <c r="D175" s="1" t="str">
        <f t="shared" ca="1" si="12"/>
        <v>Customer</v>
      </c>
      <c r="E175" s="1" t="str">
        <f t="shared" ca="1" si="13"/>
        <v>Yes</v>
      </c>
      <c r="F175" s="1">
        <f t="shared" ca="1" si="14"/>
        <v>104000</v>
      </c>
    </row>
    <row r="176" spans="1:6" x14ac:dyDescent="0.3">
      <c r="A176" s="1">
        <v>175</v>
      </c>
      <c r="B176" s="2">
        <f t="shared" ca="1" si="10"/>
        <v>46073</v>
      </c>
      <c r="C176" s="1" t="str">
        <f t="shared" ca="1" si="11"/>
        <v>Referral</v>
      </c>
      <c r="D176" s="1" t="str">
        <f t="shared" ca="1" si="12"/>
        <v>Lead</v>
      </c>
      <c r="E176" s="1" t="str">
        <f t="shared" ca="1" si="13"/>
        <v>No</v>
      </c>
      <c r="F176" s="1">
        <f t="shared" ca="1" si="14"/>
        <v>0</v>
      </c>
    </row>
    <row r="177" spans="1:6" x14ac:dyDescent="0.3">
      <c r="A177" s="1">
        <v>176</v>
      </c>
      <c r="B177" s="2">
        <f t="shared" ca="1" si="10"/>
        <v>46075</v>
      </c>
      <c r="C177" s="1" t="str">
        <f t="shared" ca="1" si="11"/>
        <v>Paid Social</v>
      </c>
      <c r="D177" s="1" t="str">
        <f t="shared" ca="1" si="12"/>
        <v>Visitor</v>
      </c>
      <c r="E177" s="1" t="str">
        <f t="shared" ca="1" si="13"/>
        <v>No</v>
      </c>
      <c r="F177" s="1">
        <f t="shared" ca="1" si="14"/>
        <v>0</v>
      </c>
    </row>
    <row r="178" spans="1:6" x14ac:dyDescent="0.3">
      <c r="A178" s="1">
        <v>177</v>
      </c>
      <c r="B178" s="2">
        <f t="shared" ca="1" si="10"/>
        <v>46038</v>
      </c>
      <c r="C178" s="1" t="str">
        <f t="shared" ca="1" si="11"/>
        <v>Paid Social</v>
      </c>
      <c r="D178" s="1" t="str">
        <f t="shared" ca="1" si="12"/>
        <v>MQL</v>
      </c>
      <c r="E178" s="1" t="str">
        <f t="shared" ca="1" si="13"/>
        <v>No</v>
      </c>
      <c r="F178" s="1">
        <f t="shared" ca="1" si="14"/>
        <v>0</v>
      </c>
    </row>
    <row r="179" spans="1:6" x14ac:dyDescent="0.3">
      <c r="A179" s="1">
        <v>178</v>
      </c>
      <c r="B179" s="2">
        <f t="shared" ca="1" si="10"/>
        <v>46072</v>
      </c>
      <c r="C179" s="1" t="str">
        <f t="shared" ca="1" si="11"/>
        <v>Organic Search</v>
      </c>
      <c r="D179" s="1" t="str">
        <f t="shared" ca="1" si="12"/>
        <v>Visitor</v>
      </c>
      <c r="E179" s="1" t="str">
        <f t="shared" ca="1" si="13"/>
        <v>No</v>
      </c>
      <c r="F179" s="1">
        <f t="shared" ca="1" si="14"/>
        <v>0</v>
      </c>
    </row>
    <row r="180" spans="1:6" x14ac:dyDescent="0.3">
      <c r="A180" s="1">
        <v>179</v>
      </c>
      <c r="B180" s="2">
        <f t="shared" ca="1" si="10"/>
        <v>46034</v>
      </c>
      <c r="C180" s="1" t="str">
        <f t="shared" ca="1" si="11"/>
        <v>Email</v>
      </c>
      <c r="D180" s="1" t="str">
        <f t="shared" ca="1" si="12"/>
        <v>Visitor</v>
      </c>
      <c r="E180" s="1" t="str">
        <f t="shared" ca="1" si="13"/>
        <v>No</v>
      </c>
      <c r="F180" s="1">
        <f t="shared" ca="1" si="14"/>
        <v>0</v>
      </c>
    </row>
    <row r="181" spans="1:6" x14ac:dyDescent="0.3">
      <c r="A181" s="1">
        <v>180</v>
      </c>
      <c r="B181" s="2">
        <f t="shared" ca="1" si="10"/>
        <v>46070</v>
      </c>
      <c r="C181" s="1" t="str">
        <f t="shared" ca="1" si="11"/>
        <v>Paid Social</v>
      </c>
      <c r="D181" s="1" t="str">
        <f t="shared" ca="1" si="12"/>
        <v>Lead</v>
      </c>
      <c r="E181" s="1" t="str">
        <f t="shared" ca="1" si="13"/>
        <v>No</v>
      </c>
      <c r="F181" s="1">
        <f t="shared" ca="1" si="14"/>
        <v>0</v>
      </c>
    </row>
    <row r="182" spans="1:6" x14ac:dyDescent="0.3">
      <c r="A182" s="1">
        <v>181</v>
      </c>
      <c r="B182" s="2">
        <f t="shared" ca="1" si="10"/>
        <v>46072</v>
      </c>
      <c r="C182" s="1" t="str">
        <f t="shared" ca="1" si="11"/>
        <v>Referral</v>
      </c>
      <c r="D182" s="1" t="str">
        <f t="shared" ca="1" si="12"/>
        <v>Lead</v>
      </c>
      <c r="E182" s="1" t="str">
        <f t="shared" ca="1" si="13"/>
        <v>No</v>
      </c>
      <c r="F182" s="1">
        <f t="shared" ca="1" si="14"/>
        <v>0</v>
      </c>
    </row>
    <row r="183" spans="1:6" x14ac:dyDescent="0.3">
      <c r="A183" s="1">
        <v>182</v>
      </c>
      <c r="B183" s="2">
        <f t="shared" ca="1" si="10"/>
        <v>46022</v>
      </c>
      <c r="C183" s="1" t="str">
        <f t="shared" ca="1" si="11"/>
        <v>Paid Search</v>
      </c>
      <c r="D183" s="1" t="str">
        <f t="shared" ca="1" si="12"/>
        <v>SQL</v>
      </c>
      <c r="E183" s="1" t="str">
        <f t="shared" ca="1" si="13"/>
        <v>No</v>
      </c>
      <c r="F183" s="1">
        <f t="shared" ca="1" si="14"/>
        <v>0</v>
      </c>
    </row>
    <row r="184" spans="1:6" x14ac:dyDescent="0.3">
      <c r="A184" s="1">
        <v>183</v>
      </c>
      <c r="B184" s="2">
        <f t="shared" ca="1" si="10"/>
        <v>46059</v>
      </c>
      <c r="C184" s="1" t="str">
        <f t="shared" ca="1" si="11"/>
        <v>Paid Social</v>
      </c>
      <c r="D184" s="1" t="str">
        <f t="shared" ca="1" si="12"/>
        <v>Visitor</v>
      </c>
      <c r="E184" s="1" t="str">
        <f t="shared" ca="1" si="13"/>
        <v>No</v>
      </c>
      <c r="F184" s="1">
        <f t="shared" ca="1" si="14"/>
        <v>0</v>
      </c>
    </row>
    <row r="185" spans="1:6" x14ac:dyDescent="0.3">
      <c r="A185" s="1">
        <v>184</v>
      </c>
      <c r="B185" s="2">
        <f t="shared" ca="1" si="10"/>
        <v>46061</v>
      </c>
      <c r="C185" s="1" t="str">
        <f t="shared" ca="1" si="11"/>
        <v>Paid Social</v>
      </c>
      <c r="D185" s="1" t="str">
        <f t="shared" ca="1" si="12"/>
        <v>Visitor</v>
      </c>
      <c r="E185" s="1" t="str">
        <f t="shared" ca="1" si="13"/>
        <v>No</v>
      </c>
      <c r="F185" s="1">
        <f t="shared" ca="1" si="14"/>
        <v>0</v>
      </c>
    </row>
    <row r="186" spans="1:6" x14ac:dyDescent="0.3">
      <c r="A186" s="1">
        <v>185</v>
      </c>
      <c r="B186" s="2">
        <f t="shared" ca="1" si="10"/>
        <v>46022</v>
      </c>
      <c r="C186" s="1" t="str">
        <f t="shared" ca="1" si="11"/>
        <v>Referral</v>
      </c>
      <c r="D186" s="1" t="str">
        <f t="shared" ca="1" si="12"/>
        <v>Visitor</v>
      </c>
      <c r="E186" s="1" t="str">
        <f t="shared" ca="1" si="13"/>
        <v>No</v>
      </c>
      <c r="F186" s="1">
        <f t="shared" ca="1" si="14"/>
        <v>0</v>
      </c>
    </row>
    <row r="187" spans="1:6" x14ac:dyDescent="0.3">
      <c r="A187" s="1">
        <v>186</v>
      </c>
      <c r="B187" s="2">
        <f t="shared" ca="1" si="10"/>
        <v>46021</v>
      </c>
      <c r="C187" s="1" t="str">
        <f t="shared" ca="1" si="11"/>
        <v>Organic Search</v>
      </c>
      <c r="D187" s="1" t="str">
        <f t="shared" ca="1" si="12"/>
        <v>Customer</v>
      </c>
      <c r="E187" s="1" t="str">
        <f t="shared" ca="1" si="13"/>
        <v>Yes</v>
      </c>
      <c r="F187" s="1">
        <f t="shared" ca="1" si="14"/>
        <v>410600</v>
      </c>
    </row>
    <row r="188" spans="1:6" x14ac:dyDescent="0.3">
      <c r="A188" s="1">
        <v>187</v>
      </c>
      <c r="B188" s="2">
        <f t="shared" ca="1" si="10"/>
        <v>46017</v>
      </c>
      <c r="C188" s="1" t="str">
        <f t="shared" ca="1" si="11"/>
        <v>Referral</v>
      </c>
      <c r="D188" s="1" t="str">
        <f t="shared" ca="1" si="12"/>
        <v>Customer</v>
      </c>
      <c r="E188" s="1" t="str">
        <f t="shared" ca="1" si="13"/>
        <v>Yes</v>
      </c>
      <c r="F188" s="1">
        <f t="shared" ca="1" si="14"/>
        <v>318500</v>
      </c>
    </row>
    <row r="189" spans="1:6" x14ac:dyDescent="0.3">
      <c r="A189" s="1">
        <v>188</v>
      </c>
      <c r="B189" s="2">
        <f t="shared" ca="1" si="10"/>
        <v>46093</v>
      </c>
      <c r="C189" s="1" t="str">
        <f t="shared" ca="1" si="11"/>
        <v>Email</v>
      </c>
      <c r="D189" s="1" t="str">
        <f t="shared" ca="1" si="12"/>
        <v>Lead</v>
      </c>
      <c r="E189" s="1" t="str">
        <f t="shared" ca="1" si="13"/>
        <v>No</v>
      </c>
      <c r="F189" s="1">
        <f t="shared" ca="1" si="14"/>
        <v>0</v>
      </c>
    </row>
    <row r="190" spans="1:6" x14ac:dyDescent="0.3">
      <c r="A190" s="1">
        <v>189</v>
      </c>
      <c r="B190" s="2">
        <f t="shared" ca="1" si="10"/>
        <v>46099</v>
      </c>
      <c r="C190" s="1" t="str">
        <f t="shared" ca="1" si="11"/>
        <v>Referral</v>
      </c>
      <c r="D190" s="1" t="str">
        <f t="shared" ca="1" si="12"/>
        <v>Lead</v>
      </c>
      <c r="E190" s="1" t="str">
        <f t="shared" ca="1" si="13"/>
        <v>No</v>
      </c>
      <c r="F190" s="1">
        <f t="shared" ca="1" si="14"/>
        <v>0</v>
      </c>
    </row>
    <row r="191" spans="1:6" x14ac:dyDescent="0.3">
      <c r="A191" s="1">
        <v>190</v>
      </c>
      <c r="B191" s="2">
        <f t="shared" ca="1" si="10"/>
        <v>46029</v>
      </c>
      <c r="C191" s="1" t="str">
        <f t="shared" ca="1" si="11"/>
        <v>Paid Social</v>
      </c>
      <c r="D191" s="1" t="str">
        <f t="shared" ca="1" si="12"/>
        <v>Visitor</v>
      </c>
      <c r="E191" s="1" t="str">
        <f t="shared" ca="1" si="13"/>
        <v>No</v>
      </c>
      <c r="F191" s="1">
        <f t="shared" ca="1" si="14"/>
        <v>0</v>
      </c>
    </row>
    <row r="192" spans="1:6" x14ac:dyDescent="0.3">
      <c r="A192" s="1">
        <v>191</v>
      </c>
      <c r="B192" s="2">
        <f t="shared" ca="1" si="10"/>
        <v>46047</v>
      </c>
      <c r="C192" s="1" t="str">
        <f t="shared" ca="1" si="11"/>
        <v>Paid Social</v>
      </c>
      <c r="D192" s="1" t="str">
        <f t="shared" ca="1" si="12"/>
        <v>Visitor</v>
      </c>
      <c r="E192" s="1" t="str">
        <f t="shared" ca="1" si="13"/>
        <v>No</v>
      </c>
      <c r="F192" s="1">
        <f t="shared" ca="1" si="14"/>
        <v>0</v>
      </c>
    </row>
    <row r="193" spans="1:6" x14ac:dyDescent="0.3">
      <c r="A193" s="1">
        <v>192</v>
      </c>
      <c r="B193" s="2">
        <f t="shared" ca="1" si="10"/>
        <v>46049</v>
      </c>
      <c r="C193" s="1" t="str">
        <f t="shared" ca="1" si="11"/>
        <v>Paid Search</v>
      </c>
      <c r="D193" s="1" t="str">
        <f t="shared" ca="1" si="12"/>
        <v>Visitor</v>
      </c>
      <c r="E193" s="1" t="str">
        <f t="shared" ca="1" si="13"/>
        <v>No</v>
      </c>
      <c r="F193" s="1">
        <f t="shared" ca="1" si="14"/>
        <v>0</v>
      </c>
    </row>
    <row r="194" spans="1:6" x14ac:dyDescent="0.3">
      <c r="A194" s="1">
        <v>193</v>
      </c>
      <c r="B194" s="2">
        <f t="shared" ca="1" si="10"/>
        <v>46048</v>
      </c>
      <c r="C194" s="1" t="str">
        <f t="shared" ca="1" si="11"/>
        <v>Paid Search</v>
      </c>
      <c r="D194" s="1" t="str">
        <f t="shared" ca="1" si="12"/>
        <v>Visitor</v>
      </c>
      <c r="E194" s="1" t="str">
        <f t="shared" ca="1" si="13"/>
        <v>No</v>
      </c>
      <c r="F194" s="1">
        <f t="shared" ca="1" si="14"/>
        <v>0</v>
      </c>
    </row>
    <row r="195" spans="1:6" x14ac:dyDescent="0.3">
      <c r="A195" s="1">
        <v>194</v>
      </c>
      <c r="B195" s="2">
        <f t="shared" ref="B195:B201" ca="1" si="15">TODAY()-RANDBETWEEN(1,90)</f>
        <v>46022</v>
      </c>
      <c r="C195" s="1" t="str">
        <f t="shared" ref="C195:C201" ca="1" si="16">CHOOSE(RANDBETWEEN(1,5),"Organic Search","Paid Search","Paid Social","Email","Referral")</f>
        <v>Organic Search</v>
      </c>
      <c r="D195" s="1" t="str">
        <f t="shared" ref="D195:D201" ca="1" si="17">CHOOSE(RANDBETWEEN(1,10),"Visitor","Visitor","Visitor","Visitor","Lead","Lead","Lead","MQL","SQL","Customer")</f>
        <v>Visitor</v>
      </c>
      <c r="E195" s="1" t="str">
        <f t="shared" ref="E195:E201" ca="1" si="18">IF(D195="Customer","Yes","No")</f>
        <v>No</v>
      </c>
      <c r="F195" s="1">
        <f t="shared" ref="F195:F201" ca="1" si="19">IF(E195="Yes",RANDBETWEEN(500,5000)*100,0)</f>
        <v>0</v>
      </c>
    </row>
    <row r="196" spans="1:6" x14ac:dyDescent="0.3">
      <c r="A196" s="1">
        <v>195</v>
      </c>
      <c r="B196" s="2">
        <f t="shared" ca="1" si="15"/>
        <v>46061</v>
      </c>
      <c r="C196" s="1" t="str">
        <f t="shared" ca="1" si="16"/>
        <v>Organic Search</v>
      </c>
      <c r="D196" s="1" t="str">
        <f t="shared" ca="1" si="17"/>
        <v>Lead</v>
      </c>
      <c r="E196" s="1" t="str">
        <f t="shared" ca="1" si="18"/>
        <v>No</v>
      </c>
      <c r="F196" s="1">
        <f t="shared" ca="1" si="19"/>
        <v>0</v>
      </c>
    </row>
    <row r="197" spans="1:6" x14ac:dyDescent="0.3">
      <c r="A197" s="1">
        <v>196</v>
      </c>
      <c r="B197" s="2">
        <f t="shared" ca="1" si="15"/>
        <v>46066</v>
      </c>
      <c r="C197" s="1" t="str">
        <f t="shared" ca="1" si="16"/>
        <v>Paid Social</v>
      </c>
      <c r="D197" s="1" t="str">
        <f t="shared" ca="1" si="17"/>
        <v>Customer</v>
      </c>
      <c r="E197" s="1" t="str">
        <f t="shared" ca="1" si="18"/>
        <v>Yes</v>
      </c>
      <c r="F197" s="1">
        <f t="shared" ca="1" si="19"/>
        <v>101600</v>
      </c>
    </row>
    <row r="198" spans="1:6" x14ac:dyDescent="0.3">
      <c r="A198" s="1">
        <v>197</v>
      </c>
      <c r="B198" s="2">
        <f t="shared" ca="1" si="15"/>
        <v>46040</v>
      </c>
      <c r="C198" s="1" t="str">
        <f t="shared" ca="1" si="16"/>
        <v>Organic Search</v>
      </c>
      <c r="D198" s="1" t="str">
        <f t="shared" ca="1" si="17"/>
        <v>Lead</v>
      </c>
      <c r="E198" s="1" t="str">
        <f t="shared" ca="1" si="18"/>
        <v>No</v>
      </c>
      <c r="F198" s="1">
        <f t="shared" ca="1" si="19"/>
        <v>0</v>
      </c>
    </row>
    <row r="199" spans="1:6" x14ac:dyDescent="0.3">
      <c r="A199" s="1">
        <v>198</v>
      </c>
      <c r="B199" s="2">
        <f t="shared" ca="1" si="15"/>
        <v>46086</v>
      </c>
      <c r="C199" s="1" t="str">
        <f t="shared" ca="1" si="16"/>
        <v>Paid Social</v>
      </c>
      <c r="D199" s="1" t="str">
        <f t="shared" ca="1" si="17"/>
        <v>Lead</v>
      </c>
      <c r="E199" s="1" t="str">
        <f t="shared" ca="1" si="18"/>
        <v>No</v>
      </c>
      <c r="F199" s="1">
        <f t="shared" ca="1" si="19"/>
        <v>0</v>
      </c>
    </row>
    <row r="200" spans="1:6" x14ac:dyDescent="0.3">
      <c r="A200" s="1">
        <v>199</v>
      </c>
      <c r="B200" s="2">
        <f t="shared" ca="1" si="15"/>
        <v>46086</v>
      </c>
      <c r="C200" s="1" t="str">
        <f t="shared" ca="1" si="16"/>
        <v>Paid Search</v>
      </c>
      <c r="D200" s="1" t="str">
        <f t="shared" ca="1" si="17"/>
        <v>Lead</v>
      </c>
      <c r="E200" s="1" t="str">
        <f t="shared" ca="1" si="18"/>
        <v>No</v>
      </c>
      <c r="F200" s="1">
        <f t="shared" ca="1" si="19"/>
        <v>0</v>
      </c>
    </row>
    <row r="201" spans="1:6" x14ac:dyDescent="0.3">
      <c r="A201" s="1">
        <v>200</v>
      </c>
      <c r="B201" s="2">
        <f t="shared" ca="1" si="15"/>
        <v>46068</v>
      </c>
      <c r="C201" s="1" t="str">
        <f t="shared" ca="1" si="16"/>
        <v>Organic Search</v>
      </c>
      <c r="D201" s="1" t="str">
        <f t="shared" ca="1" si="17"/>
        <v>Visitor</v>
      </c>
      <c r="E201" s="1" t="str">
        <f t="shared" ca="1" si="18"/>
        <v>No</v>
      </c>
      <c r="F201" s="1">
        <f t="shared" ca="1" si="1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Insights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aditishastry672@gmail.com</dc:creator>
  <cp:lastModifiedBy>aditishastry672@gmail.com</cp:lastModifiedBy>
  <dcterms:created xsi:type="dcterms:W3CDTF">2026-03-22T05:46:31Z</dcterms:created>
  <dcterms:modified xsi:type="dcterms:W3CDTF">2026-03-22T06:37:37Z</dcterms:modified>
</cp:coreProperties>
</file>